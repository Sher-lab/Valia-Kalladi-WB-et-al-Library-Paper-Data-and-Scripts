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 - University of Haifa\Desktop\Papers\Library Paper\Final Paper Documents\Code and Data\"/>
    </mc:Choice>
  </mc:AlternateContent>
  <xr:revisionPtr revIDLastSave="0" documentId="13_ncr:1_{02D30EAE-C258-4717-9173-D04D15977E16}" xr6:coauthVersionLast="47" xr6:coauthVersionMax="47" xr10:uidLastSave="{00000000-0000-0000-0000-000000000000}"/>
  <bookViews>
    <workbookView xWindow="57480" yWindow="1620" windowWidth="29040" windowHeight="15720" activeTab="1" xr2:uid="{00000000-000D-0000-FFFF-FFFF00000000}"/>
  </bookViews>
  <sheets>
    <sheet name="df_Cluster" sheetId="1" r:id="rId1"/>
    <sheet name="df_Hex" sheetId="2" r:id="rId2"/>
    <sheet name="df_Tree_List" sheetId="3" r:id="rId3"/>
    <sheet name="Library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2" i="3" s="1"/>
  <c r="E2" i="3" s="1"/>
  <c r="B3" i="3"/>
  <c r="D3" i="3" s="1"/>
  <c r="E3" i="3" s="1"/>
  <c r="B4" i="3"/>
  <c r="D4" i="3" s="1"/>
  <c r="E4" i="3" s="1"/>
  <c r="B5" i="3"/>
  <c r="D5" i="3" s="1"/>
  <c r="E5" i="3" s="1"/>
  <c r="B6" i="3"/>
  <c r="D6" i="3" s="1"/>
  <c r="E6" i="3" s="1"/>
  <c r="B7" i="3"/>
  <c r="D7" i="3" s="1"/>
  <c r="E7" i="3" s="1"/>
  <c r="B8" i="3"/>
  <c r="D8" i="3" s="1"/>
  <c r="E8" i="3" s="1"/>
  <c r="B9" i="3"/>
  <c r="D9" i="3" s="1"/>
  <c r="E9" i="3" s="1"/>
  <c r="E10" i="3"/>
  <c r="E11" i="3"/>
  <c r="B12" i="3"/>
  <c r="D12" i="3" s="1"/>
  <c r="E12" i="3" s="1"/>
  <c r="B13" i="3"/>
  <c r="D13" i="3" s="1"/>
  <c r="E13" i="3" s="1"/>
  <c r="E14" i="3"/>
  <c r="E15" i="3"/>
  <c r="E16" i="3"/>
  <c r="G16" i="3" s="1"/>
  <c r="F16" i="3"/>
  <c r="E17" i="3"/>
  <c r="B18" i="3"/>
  <c r="D18" i="3" s="1"/>
  <c r="E18" i="3" s="1"/>
  <c r="E19" i="3"/>
  <c r="F19" i="3"/>
  <c r="G19" i="3"/>
  <c r="E20" i="3"/>
  <c r="F20" i="3" s="1"/>
  <c r="E21" i="3"/>
  <c r="G21" i="3" s="1"/>
  <c r="F21" i="3"/>
  <c r="B22" i="3"/>
  <c r="D22" i="3" s="1"/>
  <c r="E22" i="3" s="1"/>
  <c r="E23" i="3"/>
  <c r="E24" i="3"/>
  <c r="E25" i="3"/>
  <c r="E26" i="3"/>
  <c r="E27" i="3"/>
  <c r="E28" i="3"/>
  <c r="E29" i="3"/>
  <c r="E30" i="3"/>
  <c r="B31" i="3"/>
  <c r="D31" i="3" s="1"/>
  <c r="E31" i="3" s="1"/>
  <c r="B32" i="3"/>
  <c r="D32" i="3" s="1"/>
  <c r="E32" i="3" s="1"/>
  <c r="B33" i="3"/>
  <c r="D33" i="3" s="1"/>
  <c r="E33" i="3" s="1"/>
  <c r="E34" i="3"/>
  <c r="B35" i="3"/>
  <c r="D35" i="3"/>
  <c r="E35" i="3" s="1"/>
  <c r="B36" i="3"/>
  <c r="D36" i="3" s="1"/>
  <c r="E36" i="3" s="1"/>
  <c r="B37" i="3"/>
  <c r="D37" i="3" s="1"/>
  <c r="E37" i="3" s="1"/>
  <c r="B38" i="3"/>
  <c r="D38" i="3" s="1"/>
  <c r="E38" i="3" s="1"/>
  <c r="B39" i="3"/>
  <c r="D39" i="3" s="1"/>
  <c r="E39" i="3" s="1"/>
  <c r="B40" i="3"/>
  <c r="D40" i="3" s="1"/>
  <c r="E40" i="3" s="1"/>
  <c r="E43" i="3"/>
  <c r="B46" i="3"/>
  <c r="D46" i="3" s="1"/>
  <c r="E46" i="3" s="1"/>
  <c r="B47" i="3"/>
  <c r="D47" i="3"/>
  <c r="E47" i="3" s="1"/>
  <c r="B48" i="3"/>
  <c r="D48" i="3" s="1"/>
  <c r="E48" i="3" s="1"/>
  <c r="B49" i="3"/>
  <c r="D49" i="3" s="1"/>
  <c r="E49" i="3" s="1"/>
  <c r="B50" i="3"/>
  <c r="D50" i="3" s="1"/>
  <c r="E50" i="3" s="1"/>
  <c r="B51" i="3"/>
  <c r="D51" i="3"/>
  <c r="E51" i="3" s="1"/>
  <c r="E54" i="3"/>
  <c r="E55" i="3"/>
  <c r="B56" i="3"/>
  <c r="D56" i="3" s="1"/>
  <c r="E56" i="3" s="1"/>
  <c r="E57" i="3"/>
  <c r="E58" i="3"/>
  <c r="E59" i="3"/>
  <c r="E60" i="3"/>
  <c r="E61" i="3"/>
  <c r="E62" i="3"/>
  <c r="E63" i="3"/>
  <c r="F13" i="3" l="1"/>
  <c r="F38" i="3"/>
  <c r="G38" i="3"/>
  <c r="F8" i="3"/>
  <c r="F36" i="3"/>
  <c r="G36" i="3"/>
  <c r="F49" i="3"/>
  <c r="G49" i="3"/>
  <c r="F35" i="3"/>
  <c r="G35" i="3"/>
  <c r="F22" i="3"/>
  <c r="G22" i="3"/>
  <c r="F12" i="3"/>
  <c r="G12" i="3"/>
  <c r="F7" i="3"/>
  <c r="G7" i="3"/>
  <c r="F2" i="3"/>
  <c r="G2" i="3"/>
  <c r="F48" i="3"/>
  <c r="G48" i="3"/>
  <c r="F18" i="3"/>
  <c r="G18" i="3"/>
  <c r="F56" i="3"/>
  <c r="G56" i="3"/>
  <c r="F46" i="3"/>
  <c r="G46" i="3"/>
  <c r="F9" i="3"/>
  <c r="G9" i="3"/>
  <c r="F5" i="3"/>
  <c r="G5" i="3"/>
  <c r="F3" i="3"/>
  <c r="G3" i="3"/>
  <c r="G47" i="3"/>
  <c r="F47" i="3"/>
  <c r="G6" i="3"/>
  <c r="F6" i="3"/>
  <c r="F33" i="3"/>
  <c r="G33" i="3"/>
  <c r="F51" i="3"/>
  <c r="G51" i="3"/>
  <c r="F37" i="3"/>
  <c r="G37" i="3"/>
  <c r="F32" i="3"/>
  <c r="G32" i="3"/>
  <c r="F50" i="3"/>
  <c r="G50" i="3"/>
  <c r="G39" i="3"/>
  <c r="F39" i="3"/>
  <c r="F40" i="3"/>
  <c r="G40" i="3"/>
  <c r="F31" i="3"/>
  <c r="G31" i="3"/>
  <c r="F4" i="3"/>
  <c r="G4" i="3"/>
  <c r="G20" i="3"/>
  <c r="G15" i="3"/>
  <c r="F15" i="3"/>
  <c r="F17" i="3"/>
  <c r="G13" i="3"/>
  <c r="G8" i="3"/>
</calcChain>
</file>

<file path=xl/sharedStrings.xml><?xml version="1.0" encoding="utf-8"?>
<sst xmlns="http://schemas.openxmlformats.org/spreadsheetml/2006/main" count="1231" uniqueCount="332">
  <si>
    <t>Strain</t>
  </si>
  <si>
    <t>B2china</t>
  </si>
  <si>
    <t>BS11</t>
  </si>
  <si>
    <t>CIP</t>
  </si>
  <si>
    <t>DE</t>
  </si>
  <si>
    <t>DE1</t>
  </si>
  <si>
    <t>DSS-3</t>
  </si>
  <si>
    <t>Fagar</t>
  </si>
  <si>
    <t>HOT1A3</t>
  </si>
  <si>
    <t>HOT5_B10</t>
  </si>
  <si>
    <t>HOT5_C3</t>
  </si>
  <si>
    <t>HOT5_E6</t>
  </si>
  <si>
    <t>HOT5_F3</t>
  </si>
  <si>
    <t>HP15</t>
  </si>
  <si>
    <t>Luca4/Aalgi</t>
  </si>
  <si>
    <t>Luca8</t>
  </si>
  <si>
    <t>MMB1</t>
  </si>
  <si>
    <t>MRE600</t>
  </si>
  <si>
    <t>Och114</t>
  </si>
  <si>
    <t>Parctic</t>
  </si>
  <si>
    <t>Pgall</t>
  </si>
  <si>
    <t>Phalo</t>
  </si>
  <si>
    <t>Pinhib</t>
  </si>
  <si>
    <t>Rbalt</t>
  </si>
  <si>
    <t>Relong</t>
  </si>
  <si>
    <t>Rsphaer</t>
  </si>
  <si>
    <t>T2</t>
  </si>
  <si>
    <t>T6c</t>
  </si>
  <si>
    <t>abie</t>
  </si>
  <si>
    <t>atlcs</t>
  </si>
  <si>
    <t>azure</t>
  </si>
  <si>
    <t>bdim</t>
  </si>
  <si>
    <t>bermu</t>
  </si>
  <si>
    <t>bork</t>
  </si>
  <si>
    <t>citrea</t>
  </si>
  <si>
    <t>crono</t>
  </si>
  <si>
    <t>cstat</t>
  </si>
  <si>
    <t>dfl-12</t>
  </si>
  <si>
    <t>dies</t>
  </si>
  <si>
    <t>eryth</t>
  </si>
  <si>
    <t>exig</t>
  </si>
  <si>
    <t>fang</t>
  </si>
  <si>
    <t>fors</t>
  </si>
  <si>
    <t>kordia</t>
  </si>
  <si>
    <t>koree</t>
  </si>
  <si>
    <t>kuro</t>
  </si>
  <si>
    <t>nitzsch</t>
  </si>
  <si>
    <t>owen</t>
  </si>
  <si>
    <t>psych</t>
  </si>
  <si>
    <t>roseo</t>
  </si>
  <si>
    <t>salex</t>
  </si>
  <si>
    <t>sedthio</t>
  </si>
  <si>
    <t>serr</t>
  </si>
  <si>
    <t>vcamp</t>
  </si>
  <si>
    <t>vnat</t>
  </si>
  <si>
    <t>woodyi</t>
  </si>
  <si>
    <t>Name</t>
  </si>
  <si>
    <t>Class</t>
  </si>
  <si>
    <t>Hex Class</t>
  </si>
  <si>
    <t>Order</t>
  </si>
  <si>
    <t>Hex Order</t>
  </si>
  <si>
    <t>Corynebacterium stationis</t>
  </si>
  <si>
    <t>Actinobacteria</t>
  </si>
  <si>
    <t>#0077BB</t>
  </si>
  <si>
    <t>Actinomycetales</t>
  </si>
  <si>
    <t>#696969</t>
  </si>
  <si>
    <t>Ksed</t>
  </si>
  <si>
    <t>Kytococcus sedentarius</t>
  </si>
  <si>
    <t>Rhodococcus erythropolis</t>
  </si>
  <si>
    <t>salin</t>
  </si>
  <si>
    <t>Salinispora tropica</t>
  </si>
  <si>
    <t>Aeromicrobium marinum</t>
  </si>
  <si>
    <t>Sflavi</t>
  </si>
  <si>
    <t>Sphingorhabdus flavimaris</t>
  </si>
  <si>
    <t>Alphaproteobacteria</t>
  </si>
  <si>
    <t>#33BBEE</t>
  </si>
  <si>
    <t>Sphingomonadales</t>
  </si>
  <si>
    <t>#FFFFFF</t>
  </si>
  <si>
    <t>Pelagibacterium halotolerans</t>
  </si>
  <si>
    <t>Rhizobiales</t>
  </si>
  <si>
    <t>#00FFFF</t>
  </si>
  <si>
    <t>Dinoroseobacter shibae</t>
  </si>
  <si>
    <t>Rhodobacterales</t>
  </si>
  <si>
    <t>#008080</t>
  </si>
  <si>
    <t>Sulfitobacter pseudonitzschiae</t>
  </si>
  <si>
    <t>plank</t>
  </si>
  <si>
    <t>Planktomarina temperata</t>
  </si>
  <si>
    <t>Phaeobacter gallaeciensis</t>
  </si>
  <si>
    <t>Phaeobacter inhibens</t>
  </si>
  <si>
    <t>Ponticaulis koreensis</t>
  </si>
  <si>
    <t>Caulobacterales</t>
  </si>
  <si>
    <t>#FF0000</t>
  </si>
  <si>
    <t>Ruegeria pomeroyi</t>
  </si>
  <si>
    <t>Roseovarius mucosus</t>
  </si>
  <si>
    <t>Rhodobacter sphaeroides</t>
  </si>
  <si>
    <t>Roseobacter denitrificans</t>
  </si>
  <si>
    <t>Brevundimonas diminuta</t>
  </si>
  <si>
    <t>Roseibacterium elongatum</t>
  </si>
  <si>
    <t>Pelagibaca bermudensis</t>
  </si>
  <si>
    <t>Exiguobacterium oxidotolerans</t>
  </si>
  <si>
    <t>Bacilli</t>
  </si>
  <si>
    <t>#009988</t>
  </si>
  <si>
    <t>Bacillales</t>
  </si>
  <si>
    <t>#800000</t>
  </si>
  <si>
    <t>Halobacillus kuroshimensis</t>
  </si>
  <si>
    <t>PR1red</t>
  </si>
  <si>
    <t>Algoriphagus machipongonensis</t>
  </si>
  <si>
    <t>Cytophagia</t>
  </si>
  <si>
    <t>#EE7733</t>
  </si>
  <si>
    <t>Cytophagales</t>
  </si>
  <si>
    <t>#FFA500</t>
  </si>
  <si>
    <t>PR1white</t>
  </si>
  <si>
    <t>Owenweeksia hongkongensis</t>
  </si>
  <si>
    <t>Flavobacteriia</t>
  </si>
  <si>
    <t>#CC3311</t>
  </si>
  <si>
    <t>Flavobacteriales</t>
  </si>
  <si>
    <t>#C0C0C0</t>
  </si>
  <si>
    <t>Croceibacter atlanticus</t>
  </si>
  <si>
    <t>Formosa agariphila</t>
  </si>
  <si>
    <t>jeju</t>
  </si>
  <si>
    <t>Hyunsoonleella jejuensis</t>
  </si>
  <si>
    <t>Gramella forsetii</t>
  </si>
  <si>
    <t>Arenibacter algicola</t>
  </si>
  <si>
    <t>Kordia algicida</t>
  </si>
  <si>
    <t>Alcanivorax borkumensis</t>
  </si>
  <si>
    <t>Gammaproteobacteria</t>
  </si>
  <si>
    <t>#EE3377</t>
  </si>
  <si>
    <t>Oceanospirillales</t>
  </si>
  <si>
    <t>#00FF00</t>
  </si>
  <si>
    <t>Alcanivorax dieselolei</t>
  </si>
  <si>
    <t>Alteromonas mediterranea</t>
  </si>
  <si>
    <t>Alteromonadales</t>
  </si>
  <si>
    <t>#008000</t>
  </si>
  <si>
    <t>Alteromonas macleodii</t>
  </si>
  <si>
    <t>Pseudoalteromonas atlantica</t>
  </si>
  <si>
    <t>Pseudomonas abietaniphila</t>
  </si>
  <si>
    <t>Pseudomonadales</t>
  </si>
  <si>
    <t>#A52A2A</t>
  </si>
  <si>
    <t>Escherichia coli</t>
  </si>
  <si>
    <t>Enterobacteriales</t>
  </si>
  <si>
    <t>#0000FF</t>
  </si>
  <si>
    <t>Cronobacter universalis</t>
  </si>
  <si>
    <t>Serratia sp.</t>
  </si>
  <si>
    <t>Fangia hongkongensis</t>
  </si>
  <si>
    <t>Thiotrichales</t>
  </si>
  <si>
    <t>#000080</t>
  </si>
  <si>
    <t>Haliea salexigens</t>
  </si>
  <si>
    <t>Marinobacter adhaerens</t>
  </si>
  <si>
    <t>Marinomonas mediterranea</t>
  </si>
  <si>
    <t>Shewden</t>
  </si>
  <si>
    <t>Shewanella denitrificans</t>
  </si>
  <si>
    <t>Pseudoalteromonas haloplanktis</t>
  </si>
  <si>
    <t>Sedimenticola thiotaurini</t>
  </si>
  <si>
    <t>HOT5_B8</t>
  </si>
  <si>
    <t>Shewanella woodyi</t>
  </si>
  <si>
    <t>simid</t>
  </si>
  <si>
    <t>Simiduia agarivorans</t>
  </si>
  <si>
    <t>Cellvibrionaceae</t>
  </si>
  <si>
    <t>#FFC0CB</t>
  </si>
  <si>
    <t>Vibrio azureus</t>
  </si>
  <si>
    <t>Vibrionales</t>
  </si>
  <si>
    <t>#808080</t>
  </si>
  <si>
    <t>Vibrio campbelli</t>
  </si>
  <si>
    <t>Vibrio natriegens</t>
  </si>
  <si>
    <t>Pseudoalteromonas citrea</t>
  </si>
  <si>
    <t>Psychromonas ossibalaenae</t>
  </si>
  <si>
    <t>Psychromonas arctica</t>
  </si>
  <si>
    <t>MR1</t>
  </si>
  <si>
    <t>Shewanella oneidensis</t>
  </si>
  <si>
    <t>vorax</t>
  </si>
  <si>
    <t>Pseudobacteriovorax antillogorgiicola</t>
  </si>
  <si>
    <t>Oligoflexia</t>
  </si>
  <si>
    <t>#BBBBBB</t>
  </si>
  <si>
    <t>Bdellovibrionales</t>
  </si>
  <si>
    <t>#FFFF00</t>
  </si>
  <si>
    <t>Rhodopirellula baltica</t>
  </si>
  <si>
    <t>Planctomycea</t>
  </si>
  <si>
    <t>#44AA99</t>
  </si>
  <si>
    <t>Planctomycetales</t>
  </si>
  <si>
    <t>#808000</t>
  </si>
  <si>
    <t>Tree Order</t>
  </si>
  <si>
    <t>Library Name</t>
  </si>
  <si>
    <t>Strain Manual</t>
  </si>
  <si>
    <t>Strain Looked Up</t>
  </si>
  <si>
    <t>Strain Found</t>
  </si>
  <si>
    <t>Planktomarina temperata RCA23</t>
  </si>
  <si>
    <t>Roseovarius sp HOT5_B8</t>
  </si>
  <si>
    <t>Roseovarius sp HOT5_C3</t>
  </si>
  <si>
    <t>Marinovum algicola HOT5_F3</t>
  </si>
  <si>
    <t>Marinovum algicola HOT5_E6</t>
  </si>
  <si>
    <t>Marinovum algicola HOT5B10</t>
  </si>
  <si>
    <t>27126</t>
  </si>
  <si>
    <t>25922</t>
  </si>
  <si>
    <t>phylum</t>
  </si>
  <si>
    <t>class</t>
  </si>
  <si>
    <t>order</t>
  </si>
  <si>
    <t>family</t>
  </si>
  <si>
    <t>genus</t>
  </si>
  <si>
    <t>species</t>
  </si>
  <si>
    <t>Corynebacteriaceae</t>
  </si>
  <si>
    <t>Corynebacterium</t>
  </si>
  <si>
    <t>stationis</t>
  </si>
  <si>
    <t>Dermacoccaceae</t>
  </si>
  <si>
    <t>Kytococcus</t>
  </si>
  <si>
    <t>sedentarius</t>
  </si>
  <si>
    <t>Nocardiaceae</t>
  </si>
  <si>
    <t>Rhodococcus</t>
  </si>
  <si>
    <t>erythropolis</t>
  </si>
  <si>
    <t>Micromonosporaceae</t>
  </si>
  <si>
    <t>Salinispora</t>
  </si>
  <si>
    <t>tropica</t>
  </si>
  <si>
    <t>Nocardioidaceae</t>
  </si>
  <si>
    <t>Aeromicrobium</t>
  </si>
  <si>
    <t>marinum</t>
  </si>
  <si>
    <t>Proteobacteria</t>
  </si>
  <si>
    <t>Sphingomonadaceae</t>
  </si>
  <si>
    <t>Sphingorhabdus</t>
  </si>
  <si>
    <t>flavimaris</t>
  </si>
  <si>
    <t>Hyphomicrobiaceae</t>
  </si>
  <si>
    <t>Pelagibacterium</t>
  </si>
  <si>
    <t>halotolerans</t>
  </si>
  <si>
    <t>Rhodobacteraceae</t>
  </si>
  <si>
    <t>Dinoroseobacter</t>
  </si>
  <si>
    <t>shibae</t>
  </si>
  <si>
    <t>Sulfitobacter</t>
  </si>
  <si>
    <t>pseudonitzschiae</t>
  </si>
  <si>
    <t>Planktomarina</t>
  </si>
  <si>
    <t>temperata</t>
  </si>
  <si>
    <t>Phaeobacter</t>
  </si>
  <si>
    <t>gallaeciensis</t>
  </si>
  <si>
    <t>inhibens</t>
  </si>
  <si>
    <t>Hyphomonadaceae</t>
  </si>
  <si>
    <t>Ponticaulis</t>
  </si>
  <si>
    <t>koreensis</t>
  </si>
  <si>
    <t>Ruegeria</t>
  </si>
  <si>
    <t>pomeroyi</t>
  </si>
  <si>
    <t>Roseovarius</t>
  </si>
  <si>
    <t>mucosus</t>
  </si>
  <si>
    <t>Rhodobacter</t>
  </si>
  <si>
    <t>sphaeroides</t>
  </si>
  <si>
    <t>Roseobacter</t>
  </si>
  <si>
    <t>denitrificans</t>
  </si>
  <si>
    <t>Caulobacteraceae</t>
  </si>
  <si>
    <t>Brevundimonas</t>
  </si>
  <si>
    <t>diminuta</t>
  </si>
  <si>
    <t>Roseibacterium</t>
  </si>
  <si>
    <t>elongatum</t>
  </si>
  <si>
    <t>Pelagibaca</t>
  </si>
  <si>
    <t>bermudensis</t>
  </si>
  <si>
    <t>Firmicutes</t>
  </si>
  <si>
    <t>Exiguobacterium</t>
  </si>
  <si>
    <t>oxidotolerans</t>
  </si>
  <si>
    <t>Bacillaceae</t>
  </si>
  <si>
    <t>Halobacillus</t>
  </si>
  <si>
    <t>kuroshimensis</t>
  </si>
  <si>
    <t>Bacteroidetes</t>
  </si>
  <si>
    <t>Cyclobacteriaceae</t>
  </si>
  <si>
    <t>Algoriphagus</t>
  </si>
  <si>
    <t>machipongonensis</t>
  </si>
  <si>
    <t>Cryomorphaceae</t>
  </si>
  <si>
    <t>Owenweeksia</t>
  </si>
  <si>
    <t>hongkongensis</t>
  </si>
  <si>
    <t>Flavobacteriaceae</t>
  </si>
  <si>
    <t>Croceibacter</t>
  </si>
  <si>
    <t>atlanticus</t>
  </si>
  <si>
    <t>Formosa</t>
  </si>
  <si>
    <t>agariphila</t>
  </si>
  <si>
    <t>Hyunsoonleella</t>
  </si>
  <si>
    <t>jejuensis</t>
  </si>
  <si>
    <t>Gramella</t>
  </si>
  <si>
    <t>forsetii</t>
  </si>
  <si>
    <t>Arenibacter</t>
  </si>
  <si>
    <t>algicola</t>
  </si>
  <si>
    <t>Kordia</t>
  </si>
  <si>
    <t>algicida</t>
  </si>
  <si>
    <t>Alcanivoracaceae</t>
  </si>
  <si>
    <t>Alcanivorax</t>
  </si>
  <si>
    <t>borkumensis</t>
  </si>
  <si>
    <t>dieselolei</t>
  </si>
  <si>
    <t>Alteromonadaceae</t>
  </si>
  <si>
    <t>Alteromonas</t>
  </si>
  <si>
    <t>mediterranea</t>
  </si>
  <si>
    <t>macleodii</t>
  </si>
  <si>
    <t>Pseudoalteromonas</t>
  </si>
  <si>
    <t>atlantica</t>
  </si>
  <si>
    <t>Pseudomonadaceae</t>
  </si>
  <si>
    <t>Pseudomonas</t>
  </si>
  <si>
    <t>abietaniphila</t>
  </si>
  <si>
    <t>Enterobacteriaceae</t>
  </si>
  <si>
    <t>Escherichia</t>
  </si>
  <si>
    <t>coli</t>
  </si>
  <si>
    <t>Cronobacter</t>
  </si>
  <si>
    <t>universalis</t>
  </si>
  <si>
    <t>Yersiniaceae</t>
  </si>
  <si>
    <t>Serratia</t>
  </si>
  <si>
    <t>sp.</t>
  </si>
  <si>
    <t>Francisellaceae</t>
  </si>
  <si>
    <t>Fangia</t>
  </si>
  <si>
    <t>Halieaceae</t>
  </si>
  <si>
    <t>Haliea</t>
  </si>
  <si>
    <t>salexigens</t>
  </si>
  <si>
    <t>Marinobacter</t>
  </si>
  <si>
    <t>adhaerens</t>
  </si>
  <si>
    <t>Oceanospirillaceae</t>
  </si>
  <si>
    <t>Marinomonas</t>
  </si>
  <si>
    <t>Shewanellaceae</t>
  </si>
  <si>
    <t>Shewanella</t>
  </si>
  <si>
    <t>Pseudoalteromonadaceae</t>
  </si>
  <si>
    <t>haloplanktis</t>
  </si>
  <si>
    <t>Sedimenticola</t>
  </si>
  <si>
    <t>thiotaurini</t>
  </si>
  <si>
    <t>TBD</t>
  </si>
  <si>
    <t>Simiduia</t>
  </si>
  <si>
    <t>agarivorans</t>
  </si>
  <si>
    <t>Vibrionaceae</t>
  </si>
  <si>
    <t>Vibrio</t>
  </si>
  <si>
    <t>azureus</t>
  </si>
  <si>
    <t>campbelli</t>
  </si>
  <si>
    <t>natriegens</t>
  </si>
  <si>
    <t>Psychromonadaceae</t>
  </si>
  <si>
    <t>Psychromonas</t>
  </si>
  <si>
    <t>ossibalaenae</t>
  </si>
  <si>
    <t>arctica</t>
  </si>
  <si>
    <t>oneidensis</t>
  </si>
  <si>
    <t>Pseudobacteriovoracaceae</t>
  </si>
  <si>
    <t>Pseudobacteriovorax</t>
  </si>
  <si>
    <t>antillogorgiicola</t>
  </si>
  <si>
    <t>Planctomycetes</t>
  </si>
  <si>
    <t>Planctomycetaceae</t>
  </si>
  <si>
    <t>Rhodopirellula</t>
  </si>
  <si>
    <t>baltica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</si>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</sst>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OneDrive%20-%20University%20of%20Haifa\Desktop\Library\strain_tax%201.xlsx" TargetMode="External"/><Relationship Id="rId1" Type="http://schemas.openxmlformats.org/officeDocument/2006/relationships/externalLinkPath" Target="/Users/Dell/OneDrive%20-%20University%20of%20Haifa/Desktop/Library/strain_tax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e Strains"/>
      <sheetName val="Sheet1"/>
      <sheetName val="Color"/>
      <sheetName val="Tree Strains Workbook"/>
      <sheetName val="Hex Code"/>
      <sheetName val="Sheet2"/>
      <sheetName val="Melisa List"/>
      <sheetName val="Ab Res"/>
      <sheetName val="Ab Res (2)"/>
    </sheetNames>
    <sheetDataSet>
      <sheetData sheetId="0" refreshError="1"/>
      <sheetData sheetId="1">
        <row r="1">
          <cell r="E1" t="str">
            <v>Strain</v>
          </cell>
          <cell r="F1" t="str">
            <v>domain</v>
          </cell>
          <cell r="G1" t="str">
            <v>phylum</v>
          </cell>
          <cell r="H1" t="str">
            <v>class</v>
          </cell>
          <cell r="I1" t="str">
            <v>order</v>
          </cell>
        </row>
        <row r="2">
          <cell r="D2" t="str">
            <v>Corynebacterium stationis</v>
          </cell>
          <cell r="E2" t="str">
            <v>cstat</v>
          </cell>
          <cell r="F2" t="str">
            <v>Bacteria</v>
          </cell>
          <cell r="G2" t="str">
            <v>Actinobacteria</v>
          </cell>
          <cell r="H2" t="str">
            <v>Actinobacteria</v>
          </cell>
          <cell r="I2" t="str">
            <v>Actinomycetales</v>
          </cell>
        </row>
        <row r="3">
          <cell r="D3" t="str">
            <v>Kytococcus sedentarius</v>
          </cell>
          <cell r="E3" t="str">
            <v>Ksed</v>
          </cell>
          <cell r="F3" t="str">
            <v>Bacteria</v>
          </cell>
          <cell r="G3" t="str">
            <v>Actinobacteria</v>
          </cell>
          <cell r="H3" t="str">
            <v>Actinobacteria</v>
          </cell>
          <cell r="I3" t="str">
            <v>Actinomycetales</v>
          </cell>
        </row>
        <row r="4">
          <cell r="D4" t="str">
            <v>Rhodococcus erythropolis</v>
          </cell>
          <cell r="E4" t="str">
            <v>eryth</v>
          </cell>
          <cell r="F4" t="str">
            <v>Bacteria</v>
          </cell>
          <cell r="G4" t="str">
            <v>Actinobacteria</v>
          </cell>
          <cell r="H4" t="str">
            <v>Actinobacteria</v>
          </cell>
          <cell r="I4" t="str">
            <v>Actinomycetales</v>
          </cell>
        </row>
        <row r="5">
          <cell r="D5" t="str">
            <v>Salinispora tropica</v>
          </cell>
          <cell r="E5" t="str">
            <v>salin</v>
          </cell>
          <cell r="F5" t="str">
            <v>Bacteria</v>
          </cell>
          <cell r="G5" t="str">
            <v>Actinobacteria</v>
          </cell>
          <cell r="H5" t="str">
            <v>Actinobacteria</v>
          </cell>
          <cell r="I5" t="str">
            <v>Actinomycetales</v>
          </cell>
        </row>
        <row r="6">
          <cell r="D6" t="str">
            <v>Aeromicrobium marinum</v>
          </cell>
          <cell r="E6" t="str">
            <v>T2</v>
          </cell>
          <cell r="F6" t="str">
            <v>Bacteria</v>
          </cell>
          <cell r="G6" t="str">
            <v>Actinobacteria</v>
          </cell>
          <cell r="H6" t="str">
            <v>Actinobacteria</v>
          </cell>
          <cell r="I6" t="str">
            <v>Actinomycetales</v>
          </cell>
        </row>
        <row r="7">
          <cell r="D7" t="str">
            <v>Sphingorhabdus flavimaris</v>
          </cell>
          <cell r="E7" t="str">
            <v>Sflavi</v>
          </cell>
          <cell r="F7" t="str">
            <v>Bacteria</v>
          </cell>
          <cell r="G7" t="str">
            <v>Proteobacteria</v>
          </cell>
          <cell r="H7" t="str">
            <v>Alphaproteobacteria</v>
          </cell>
          <cell r="I7" t="str">
            <v>Sphingomonadales</v>
          </cell>
        </row>
        <row r="8">
          <cell r="D8" t="str">
            <v>Pelagibacterium halotolerans</v>
          </cell>
          <cell r="E8" t="str">
            <v>B2china</v>
          </cell>
          <cell r="F8" t="str">
            <v>Bacteria</v>
          </cell>
          <cell r="G8" t="str">
            <v>Proteobacteria</v>
          </cell>
          <cell r="H8" t="str">
            <v>Alphaproteobacteria</v>
          </cell>
          <cell r="I8" t="str">
            <v>Rhizobiales</v>
          </cell>
        </row>
        <row r="9">
          <cell r="D9" t="str">
            <v>Pelagibacterium halotolerans</v>
          </cell>
          <cell r="E9" t="str">
            <v>Phalo</v>
          </cell>
          <cell r="F9" t="str">
            <v>Bacteria</v>
          </cell>
          <cell r="G9" t="str">
            <v>Proteobacteria</v>
          </cell>
          <cell r="H9" t="str">
            <v>Alphaproteobacteria</v>
          </cell>
          <cell r="I9" t="str">
            <v>Rhizobiales</v>
          </cell>
        </row>
        <row r="10">
          <cell r="D10" t="str">
            <v>Dinoroseobacter shibae</v>
          </cell>
          <cell r="E10" t="str">
            <v>dfl-12</v>
          </cell>
          <cell r="F10" t="str">
            <v>Bacteria</v>
          </cell>
          <cell r="G10" t="str">
            <v>Proteobacteria</v>
          </cell>
          <cell r="H10" t="str">
            <v>Alphaproteobacteria</v>
          </cell>
          <cell r="I10" t="str">
            <v>Rhodobacterales</v>
          </cell>
        </row>
        <row r="11">
          <cell r="D11" t="str">
            <v>Sulfitobacter pseudonitzschiae</v>
          </cell>
          <cell r="E11" t="str">
            <v>nitzsch</v>
          </cell>
          <cell r="F11" t="str">
            <v>Bacteria</v>
          </cell>
          <cell r="G11" t="str">
            <v>Proteobacteria</v>
          </cell>
          <cell r="H11" t="str">
            <v>Alphaproteobacteria</v>
          </cell>
          <cell r="I11" t="str">
            <v>Rhodobacterales</v>
          </cell>
        </row>
        <row r="12">
          <cell r="D12" t="str">
            <v>Planktomarina temperata</v>
          </cell>
          <cell r="E12" t="str">
            <v>plank</v>
          </cell>
          <cell r="F12" t="str">
            <v>Bacteria</v>
          </cell>
          <cell r="G12" t="str">
            <v>Proteobacteria</v>
          </cell>
          <cell r="H12" t="str">
            <v>Alphaproteobacteria</v>
          </cell>
          <cell r="I12" t="str">
            <v>Rhodobacterales</v>
          </cell>
        </row>
        <row r="13">
          <cell r="D13" t="str">
            <v>Phaeobacter gallaeciensis</v>
          </cell>
          <cell r="E13" t="str">
            <v>Pgall</v>
          </cell>
          <cell r="F13" t="str">
            <v>Bacteria</v>
          </cell>
          <cell r="G13" t="str">
            <v>Proteobacteria</v>
          </cell>
          <cell r="H13" t="str">
            <v>Alphaproteobacteria</v>
          </cell>
          <cell r="I13" t="str">
            <v>Rhodobacterales</v>
          </cell>
        </row>
        <row r="14">
          <cell r="D14" t="str">
            <v>Phaeobacter inhibens</v>
          </cell>
          <cell r="E14" t="str">
            <v>Pinhib</v>
          </cell>
          <cell r="F14" t="str">
            <v>Bacteria</v>
          </cell>
          <cell r="G14" t="str">
            <v>Proteobacteria</v>
          </cell>
          <cell r="H14" t="str">
            <v>Alphaproteobacteria</v>
          </cell>
          <cell r="I14" t="str">
            <v>Rhodobacterales</v>
          </cell>
        </row>
        <row r="15">
          <cell r="D15" t="str">
            <v>Ponticaulis koreensis</v>
          </cell>
          <cell r="E15" t="str">
            <v>koree</v>
          </cell>
          <cell r="F15" t="str">
            <v>Bacteria</v>
          </cell>
          <cell r="G15" t="str">
            <v>Proteobacteria</v>
          </cell>
          <cell r="H15" t="str">
            <v>Alphaproteobacteria</v>
          </cell>
          <cell r="I15" t="str">
            <v>Caulobacterales</v>
          </cell>
        </row>
        <row r="16">
          <cell r="D16" t="str">
            <v>Phaeobacter inhibens</v>
          </cell>
          <cell r="E16" t="str">
            <v>DSS-3</v>
          </cell>
          <cell r="F16" t="str">
            <v>Bacteria</v>
          </cell>
          <cell r="G16" t="str">
            <v>Proteobacteria</v>
          </cell>
          <cell r="H16" t="str">
            <v>Alphaproteobacteria</v>
          </cell>
          <cell r="I16" t="str">
            <v>Rhodobacterales</v>
          </cell>
        </row>
        <row r="17">
          <cell r="D17" t="str">
            <v>Roseovarius mucosus</v>
          </cell>
          <cell r="E17" t="str">
            <v>roseo</v>
          </cell>
          <cell r="F17" t="str">
            <v>Bacteria</v>
          </cell>
          <cell r="G17" t="str">
            <v>Proteobacteria</v>
          </cell>
          <cell r="H17" t="str">
            <v>Alphaproteobacteria</v>
          </cell>
          <cell r="I17" t="str">
            <v>Rhodobacterales</v>
          </cell>
        </row>
        <row r="18">
          <cell r="D18" t="str">
            <v>Rhodobacter sphaeroides</v>
          </cell>
          <cell r="E18" t="str">
            <v>Rsphaer</v>
          </cell>
          <cell r="F18" t="str">
            <v>Bacteria</v>
          </cell>
          <cell r="G18" t="str">
            <v>Proteobacteria</v>
          </cell>
          <cell r="H18" t="str">
            <v>Alphaproteobacteria</v>
          </cell>
          <cell r="I18" t="str">
            <v>Rhodobacterales</v>
          </cell>
        </row>
        <row r="19">
          <cell r="D19" t="str">
            <v>Roseobacter denitrificans</v>
          </cell>
          <cell r="E19" t="str">
            <v>Och114</v>
          </cell>
          <cell r="F19" t="str">
            <v>Bacteria</v>
          </cell>
          <cell r="G19" t="str">
            <v>Proteobacteria</v>
          </cell>
          <cell r="H19" t="str">
            <v>Alphaproteobacteria</v>
          </cell>
          <cell r="I19" t="str">
            <v>Rhodobacterales</v>
          </cell>
        </row>
        <row r="20">
          <cell r="D20" t="str">
            <v>Brevundimonas diminuta</v>
          </cell>
          <cell r="E20" t="str">
            <v>bdim</v>
          </cell>
          <cell r="F20" t="str">
            <v>Bacteria</v>
          </cell>
          <cell r="G20" t="str">
            <v>Proteobacteria</v>
          </cell>
          <cell r="H20" t="str">
            <v>Alphaproteobacteria</v>
          </cell>
          <cell r="I20" t="str">
            <v>Rhizobiales</v>
          </cell>
        </row>
        <row r="21">
          <cell r="D21" t="str">
            <v>Roseibacterium elongatum</v>
          </cell>
          <cell r="E21" t="str">
            <v>Relong</v>
          </cell>
          <cell r="F21" t="str">
            <v>Bacteria</v>
          </cell>
          <cell r="G21" t="str">
            <v>Proteobacteria</v>
          </cell>
          <cell r="H21" t="str">
            <v>Alphaproteobacteria</v>
          </cell>
          <cell r="I21" t="str">
            <v>Rhodobacterales</v>
          </cell>
        </row>
        <row r="22">
          <cell r="D22" t="str">
            <v>Pelagibaca bermudensis</v>
          </cell>
          <cell r="E22" t="str">
            <v>bermu</v>
          </cell>
          <cell r="F22" t="str">
            <v>Bacteria</v>
          </cell>
          <cell r="G22" t="str">
            <v>Proteobacteria</v>
          </cell>
          <cell r="H22" t="str">
            <v>Alphaproteobacteria</v>
          </cell>
          <cell r="I22" t="str">
            <v>Rhodobacterales</v>
          </cell>
        </row>
        <row r="23">
          <cell r="D23" t="str">
            <v>Exiguobacterium oxidotolerans</v>
          </cell>
          <cell r="E23" t="str">
            <v>exig</v>
          </cell>
          <cell r="F23" t="str">
            <v>Bacteria</v>
          </cell>
          <cell r="G23" t="str">
            <v>Firmicutes</v>
          </cell>
          <cell r="H23" t="str">
            <v>Bacilli</v>
          </cell>
          <cell r="I23" t="str">
            <v>Bacillales</v>
          </cell>
        </row>
        <row r="24">
          <cell r="D24" t="str">
            <v>Halobacillus kuroshimensis</v>
          </cell>
          <cell r="E24" t="str">
            <v>kuro</v>
          </cell>
          <cell r="F24" t="str">
            <v>Bacteria</v>
          </cell>
          <cell r="G24" t="str">
            <v>Firmicutes</v>
          </cell>
          <cell r="H24" t="str">
            <v>Bacilli</v>
          </cell>
          <cell r="I24" t="str">
            <v>Bacillales</v>
          </cell>
        </row>
        <row r="25">
          <cell r="D25" t="str">
            <v>Algoriphagus machipongonensis</v>
          </cell>
          <cell r="E25" t="str">
            <v>PR1red</v>
          </cell>
          <cell r="F25" t="str">
            <v>Bacteria</v>
          </cell>
          <cell r="G25" t="str">
            <v>Bacteroidetes</v>
          </cell>
          <cell r="H25" t="str">
            <v>Cytophagia</v>
          </cell>
          <cell r="I25" t="str">
            <v>Cytophagales</v>
          </cell>
        </row>
        <row r="26">
          <cell r="D26" t="str">
            <v>Algoriphagus machipongonensis</v>
          </cell>
          <cell r="E26" t="str">
            <v>PR1white</v>
          </cell>
          <cell r="F26" t="str">
            <v>Bacteria</v>
          </cell>
          <cell r="G26" t="str">
            <v>Bacteroidetes</v>
          </cell>
          <cell r="H26" t="str">
            <v>Cytophagia</v>
          </cell>
          <cell r="I26" t="str">
            <v>Cytophagales</v>
          </cell>
        </row>
        <row r="27">
          <cell r="D27" t="str">
            <v>Owenweeksia hongkongensis</v>
          </cell>
          <cell r="E27" t="str">
            <v>owen</v>
          </cell>
          <cell r="F27" t="str">
            <v>Bacteria</v>
          </cell>
          <cell r="G27" t="str">
            <v>Bacteroidetes</v>
          </cell>
          <cell r="H27" t="str">
            <v>Flavobacteriia</v>
          </cell>
          <cell r="I27" t="str">
            <v>Flavobacteriales</v>
          </cell>
        </row>
        <row r="28">
          <cell r="D28" t="str">
            <v>Croceibacter atlanticus</v>
          </cell>
          <cell r="E28" t="str">
            <v>atlcs</v>
          </cell>
          <cell r="F28" t="str">
            <v>Bacteria</v>
          </cell>
          <cell r="G28" t="str">
            <v>Bacteroidetes</v>
          </cell>
          <cell r="H28" t="str">
            <v>Flavobacteriia</v>
          </cell>
          <cell r="I28" t="str">
            <v>Flavobacteriales</v>
          </cell>
        </row>
        <row r="29">
          <cell r="D29" t="str">
            <v>Formosa agariphila</v>
          </cell>
          <cell r="E29" t="str">
            <v>Fagar</v>
          </cell>
          <cell r="F29" t="str">
            <v>Bacteria</v>
          </cell>
          <cell r="G29" t="str">
            <v>Bacteroidetes</v>
          </cell>
          <cell r="H29" t="str">
            <v>Flavobacteriia</v>
          </cell>
          <cell r="I29" t="str">
            <v>Flavobacteriales</v>
          </cell>
        </row>
        <row r="30">
          <cell r="D30" t="str">
            <v>Hyunsoonleella jejuensis</v>
          </cell>
          <cell r="E30" t="str">
            <v>jeju</v>
          </cell>
          <cell r="F30" t="str">
            <v>Bacteria</v>
          </cell>
          <cell r="G30" t="str">
            <v>Bacteroidetes</v>
          </cell>
          <cell r="H30" t="str">
            <v>Flavobacteriia</v>
          </cell>
          <cell r="I30" t="str">
            <v>Flavobacteriales</v>
          </cell>
        </row>
        <row r="31">
          <cell r="D31" t="str">
            <v>Gramella forsetii</v>
          </cell>
          <cell r="E31" t="str">
            <v>fors</v>
          </cell>
          <cell r="F31" t="str">
            <v>Bacteria</v>
          </cell>
          <cell r="G31" t="str">
            <v>Bacteroidetes</v>
          </cell>
          <cell r="H31" t="str">
            <v>Flavobacteriia</v>
          </cell>
          <cell r="I31" t="str">
            <v>Flavobacteriales</v>
          </cell>
        </row>
        <row r="32">
          <cell r="D32" t="str">
            <v>Arenibacter algicola</v>
          </cell>
          <cell r="E32" t="str">
            <v>Luca4/Aalgi</v>
          </cell>
          <cell r="F32" t="str">
            <v>Bacteria</v>
          </cell>
          <cell r="G32" t="str">
            <v>Bacteroidetes</v>
          </cell>
          <cell r="H32" t="str">
            <v>Flavobacteriia</v>
          </cell>
          <cell r="I32" t="str">
            <v>Flavobacteriales</v>
          </cell>
        </row>
        <row r="33">
          <cell r="D33" t="str">
            <v>Kordia algicida</v>
          </cell>
          <cell r="E33" t="str">
            <v>kordia</v>
          </cell>
          <cell r="F33" t="str">
            <v>Bacteria</v>
          </cell>
          <cell r="G33" t="str">
            <v>Bacteroidetes</v>
          </cell>
          <cell r="H33" t="str">
            <v>Flavobacteriia</v>
          </cell>
          <cell r="I33" t="str">
            <v>Flavobacteriales</v>
          </cell>
        </row>
        <row r="34">
          <cell r="D34" t="str">
            <v>Alcanivorax borkumensis</v>
          </cell>
          <cell r="E34" t="str">
            <v>bork</v>
          </cell>
          <cell r="F34" t="str">
            <v>Bacteria</v>
          </cell>
          <cell r="G34" t="str">
            <v>Proteobacteria</v>
          </cell>
          <cell r="H34" t="str">
            <v>Gammaproteobacteria</v>
          </cell>
          <cell r="I34" t="str">
            <v>Oceanospirillales</v>
          </cell>
        </row>
        <row r="35">
          <cell r="D35" t="str">
            <v>Alcanivorax dieselolei</v>
          </cell>
          <cell r="E35" t="str">
            <v>dies</v>
          </cell>
          <cell r="F35" t="str">
            <v>Bacteria</v>
          </cell>
          <cell r="G35" t="str">
            <v>Proteobacteria</v>
          </cell>
          <cell r="H35" t="str">
            <v>Gammaproteobacteria</v>
          </cell>
          <cell r="I35" t="str">
            <v>Oceanospirillales</v>
          </cell>
        </row>
        <row r="36">
          <cell r="D36" t="str">
            <v>Alteromonas mediterranea</v>
          </cell>
          <cell r="E36">
            <v>26499</v>
          </cell>
          <cell r="F36" t="str">
            <v>Bacteria</v>
          </cell>
          <cell r="G36" t="str">
            <v>Proteobacteria</v>
          </cell>
          <cell r="H36" t="str">
            <v>Gammaproteobacteria</v>
          </cell>
          <cell r="I36" t="str">
            <v>Alteromonadales</v>
          </cell>
        </row>
        <row r="37">
          <cell r="D37" t="str">
            <v>Alteromonas macleodii</v>
          </cell>
          <cell r="E37">
            <v>27126</v>
          </cell>
          <cell r="F37" t="str">
            <v>Bacteria</v>
          </cell>
          <cell r="G37" t="str">
            <v>Proteobacteria</v>
          </cell>
          <cell r="H37" t="str">
            <v>Gammaproteobacteria</v>
          </cell>
          <cell r="I37" t="str">
            <v>Alteromonadales</v>
          </cell>
        </row>
        <row r="38">
          <cell r="D38" t="str">
            <v>Alteromonas macleodii</v>
          </cell>
          <cell r="E38" t="str">
            <v>BS11</v>
          </cell>
          <cell r="F38" t="str">
            <v>Bacteria</v>
          </cell>
          <cell r="G38" t="str">
            <v>Proteobacteria</v>
          </cell>
          <cell r="H38" t="str">
            <v>Gammaproteobacteria</v>
          </cell>
          <cell r="I38" t="str">
            <v>Alteromonadales</v>
          </cell>
        </row>
        <row r="39">
          <cell r="D39" t="str">
            <v>Alteromonas mediterranea</v>
          </cell>
          <cell r="E39" t="str">
            <v>DE</v>
          </cell>
          <cell r="F39" t="str">
            <v>Bacteria</v>
          </cell>
          <cell r="G39" t="str">
            <v>Proteobacteria</v>
          </cell>
          <cell r="H39" t="str">
            <v>Gammaproteobacteria</v>
          </cell>
          <cell r="I39" t="str">
            <v>Alteromonadales</v>
          </cell>
        </row>
        <row r="40">
          <cell r="D40" t="str">
            <v>Alteromonas mediterranea</v>
          </cell>
          <cell r="E40" t="str">
            <v>DE1</v>
          </cell>
          <cell r="F40" t="str">
            <v>Bacteria</v>
          </cell>
          <cell r="G40" t="str">
            <v>Proteobacteria</v>
          </cell>
          <cell r="H40" t="str">
            <v>Gammaproteobacteria</v>
          </cell>
          <cell r="I40" t="str">
            <v>Alteromonadales</v>
          </cell>
        </row>
        <row r="41">
          <cell r="D41" t="str">
            <v>Alteromonas macleodii</v>
          </cell>
          <cell r="E41" t="str">
            <v>HOT1A3</v>
          </cell>
          <cell r="F41" t="str">
            <v>Bacteria</v>
          </cell>
          <cell r="G41" t="str">
            <v>Proteobacteria</v>
          </cell>
          <cell r="H41" t="str">
            <v>Gammaproteobacteria</v>
          </cell>
          <cell r="I41" t="str">
            <v>Alteromonadales</v>
          </cell>
        </row>
        <row r="42">
          <cell r="D42" t="str">
            <v>Pseudoalteromonas atlantica</v>
          </cell>
          <cell r="E42" t="str">
            <v>T6c</v>
          </cell>
          <cell r="F42" t="str">
            <v>Bacteria</v>
          </cell>
          <cell r="G42" t="str">
            <v>Proteobacteria</v>
          </cell>
          <cell r="H42" t="str">
            <v>Gammaproteobacteria</v>
          </cell>
          <cell r="I42" t="str">
            <v>Alteromonadales</v>
          </cell>
        </row>
        <row r="43">
          <cell r="D43" t="str">
            <v>Pseudomonas abietaniphila</v>
          </cell>
          <cell r="E43" t="str">
            <v>abie</v>
          </cell>
          <cell r="F43" t="str">
            <v>Bacteria</v>
          </cell>
          <cell r="G43" t="str">
            <v>Proteobacteria</v>
          </cell>
          <cell r="H43" t="str">
            <v>Gammaproteobacteria</v>
          </cell>
          <cell r="I43" t="str">
            <v>Pseudomonadales</v>
          </cell>
        </row>
        <row r="44">
          <cell r="D44" t="str">
            <v>Escherichia coli</v>
          </cell>
          <cell r="E44">
            <v>25922</v>
          </cell>
          <cell r="F44" t="str">
            <v>Bacteria</v>
          </cell>
          <cell r="G44" t="str">
            <v>Proteobacteria</v>
          </cell>
          <cell r="H44" t="str">
            <v>Gammaproteobacteria</v>
          </cell>
          <cell r="I44" t="str">
            <v>Enterobacteriales</v>
          </cell>
        </row>
        <row r="45">
          <cell r="D45" t="str">
            <v>Cronobacter universalis</v>
          </cell>
          <cell r="E45" t="str">
            <v>crono</v>
          </cell>
          <cell r="F45" t="str">
            <v>Bacteria</v>
          </cell>
          <cell r="G45" t="str">
            <v>Proteobacteria</v>
          </cell>
          <cell r="H45" t="str">
            <v>Gammaproteobacteria</v>
          </cell>
          <cell r="I45" t="str">
            <v>Enterobacteriales</v>
          </cell>
        </row>
        <row r="46">
          <cell r="D46" t="str">
            <v>Escherichia coli</v>
          </cell>
          <cell r="E46" t="str">
            <v>MRE600</v>
          </cell>
          <cell r="F46" t="str">
            <v>Bacteria</v>
          </cell>
          <cell r="G46" t="str">
            <v>Proteobacteria</v>
          </cell>
          <cell r="H46" t="str">
            <v>Gammaproteobacteria</v>
          </cell>
          <cell r="I46" t="str">
            <v>Enterobacteriales</v>
          </cell>
        </row>
        <row r="47">
          <cell r="D47" t="str">
            <v>Serratia sp.</v>
          </cell>
          <cell r="E47" t="str">
            <v>serr</v>
          </cell>
          <cell r="F47" t="str">
            <v>Bacteria</v>
          </cell>
          <cell r="G47" t="str">
            <v>Proteobacteria</v>
          </cell>
          <cell r="H47" t="str">
            <v>Gammaproteobacteria</v>
          </cell>
          <cell r="I47" t="str">
            <v>Enterobacteriales</v>
          </cell>
        </row>
        <row r="48">
          <cell r="D48" t="str">
            <v>Fangia hongkongensis</v>
          </cell>
          <cell r="E48" t="str">
            <v>fang</v>
          </cell>
          <cell r="F48" t="str">
            <v>Bacteria</v>
          </cell>
          <cell r="G48" t="str">
            <v>Proteobacteria</v>
          </cell>
          <cell r="H48" t="str">
            <v>Gammaproteobacteria</v>
          </cell>
          <cell r="I48" t="str">
            <v>Thiotrichales</v>
          </cell>
        </row>
        <row r="49">
          <cell r="D49" t="str">
            <v>Haliea salexigens</v>
          </cell>
          <cell r="E49" t="str">
            <v>salex</v>
          </cell>
          <cell r="F49" t="str">
            <v>Bacteria</v>
          </cell>
          <cell r="G49" t="str">
            <v>Proteobacteria</v>
          </cell>
          <cell r="H49" t="str">
            <v>Gammaproteobacteria</v>
          </cell>
          <cell r="I49" t="str">
            <v>Alteromonadales</v>
          </cell>
        </row>
        <row r="50">
          <cell r="D50" t="str">
            <v>Marinobacter adhaerens</v>
          </cell>
          <cell r="E50" t="str">
            <v>HP15</v>
          </cell>
          <cell r="F50" t="str">
            <v>Bacteria</v>
          </cell>
          <cell r="G50" t="str">
            <v>Proteobacteria</v>
          </cell>
          <cell r="H50" t="str">
            <v>Gammaproteobacteria</v>
          </cell>
          <cell r="I50" t="str">
            <v>Alteromonadales</v>
          </cell>
        </row>
        <row r="51">
          <cell r="D51" t="str">
            <v>Marinomonas mediterranea</v>
          </cell>
          <cell r="E51" t="str">
            <v>MMB1</v>
          </cell>
          <cell r="F51" t="str">
            <v>Bacteria</v>
          </cell>
          <cell r="G51" t="str">
            <v>Proteobacteria</v>
          </cell>
          <cell r="H51" t="str">
            <v>Gammaproteobacteria</v>
          </cell>
          <cell r="I51" t="str">
            <v>Oceanospirillales</v>
          </cell>
        </row>
        <row r="52">
          <cell r="D52" t="str">
            <v>Shewanella denitrificans</v>
          </cell>
          <cell r="E52" t="str">
            <v>Shewden</v>
          </cell>
          <cell r="F52" t="str">
            <v>Bacteria</v>
          </cell>
          <cell r="G52" t="str">
            <v>Proteobacteria</v>
          </cell>
          <cell r="H52" t="str">
            <v>Gammaproteobacteria</v>
          </cell>
          <cell r="I52" t="str">
            <v>Alteromonadales</v>
          </cell>
        </row>
        <row r="53">
          <cell r="D53" t="str">
            <v>Pseudoalteromonas haloplanktis</v>
          </cell>
          <cell r="E53" t="str">
            <v>CIP</v>
          </cell>
          <cell r="F53" t="str">
            <v>Bacteria</v>
          </cell>
          <cell r="G53" t="str">
            <v>Proteobacteria</v>
          </cell>
          <cell r="H53" t="str">
            <v>Gammaproteobacteria</v>
          </cell>
          <cell r="I53" t="str">
            <v>Alteromonadales</v>
          </cell>
        </row>
        <row r="54">
          <cell r="D54" t="str">
            <v>Sedimenticola thiotaurini</v>
          </cell>
          <cell r="E54" t="str">
            <v>sedthio</v>
          </cell>
          <cell r="F54" t="str">
            <v>Bacteria</v>
          </cell>
          <cell r="G54" t="str">
            <v>Proteobacteria</v>
          </cell>
          <cell r="H54" t="str">
            <v>Gammaproteobacteria</v>
          </cell>
          <cell r="I54" t="str">
            <v>Oceanospirillales</v>
          </cell>
        </row>
        <row r="55">
          <cell r="D55" t="str">
            <v>HOT5_B8</v>
          </cell>
          <cell r="E55" t="str">
            <v>HOT5_B8</v>
          </cell>
          <cell r="F55" t="str">
            <v>Bacteria</v>
          </cell>
          <cell r="G55" t="str">
            <v>Proteobacteria</v>
          </cell>
          <cell r="H55" t="str">
            <v>Alphaproteobacteria</v>
          </cell>
          <cell r="I55" t="str">
            <v>Rhodobacterales</v>
          </cell>
        </row>
        <row r="56">
          <cell r="D56" t="str">
            <v>HOT5_E6</v>
          </cell>
          <cell r="E56" t="str">
            <v>HOT5_E6</v>
          </cell>
          <cell r="F56" t="str">
            <v>Bacteria</v>
          </cell>
          <cell r="G56" t="str">
            <v>Proteobacteria</v>
          </cell>
          <cell r="H56" t="str">
            <v>Alphaproteobacteria</v>
          </cell>
          <cell r="I56" t="str">
            <v>Rhodobacterales</v>
          </cell>
        </row>
        <row r="57">
          <cell r="D57" t="str">
            <v>Shewanella woodyi</v>
          </cell>
          <cell r="E57" t="str">
            <v>woodyi</v>
          </cell>
          <cell r="F57" t="str">
            <v>Bacteria</v>
          </cell>
          <cell r="G57" t="str">
            <v>Proteobacteria</v>
          </cell>
          <cell r="H57" t="str">
            <v>Gammaproteobacteria</v>
          </cell>
          <cell r="I57" t="str">
            <v>Alteromonadales</v>
          </cell>
        </row>
        <row r="58">
          <cell r="D58" t="str">
            <v>Simiduia agarivorans</v>
          </cell>
          <cell r="E58" t="str">
            <v>simid</v>
          </cell>
          <cell r="F58" t="str">
            <v>Bacteria</v>
          </cell>
          <cell r="G58" t="str">
            <v>Proteobacteria</v>
          </cell>
          <cell r="H58" t="str">
            <v>Gammaproteobacteria</v>
          </cell>
          <cell r="I58" t="str">
            <v>Cellvibrionaceae</v>
          </cell>
        </row>
        <row r="59">
          <cell r="D59" t="str">
            <v>Vibrio azureus</v>
          </cell>
          <cell r="E59" t="str">
            <v>azure</v>
          </cell>
          <cell r="F59" t="str">
            <v>Bacteria</v>
          </cell>
          <cell r="G59" t="str">
            <v>Proteobacteria</v>
          </cell>
          <cell r="H59" t="str">
            <v>Gammaproteobacteria</v>
          </cell>
          <cell r="I59" t="str">
            <v>Vibrionales</v>
          </cell>
        </row>
        <row r="60">
          <cell r="D60" t="str">
            <v>Vibrio campbelli</v>
          </cell>
          <cell r="E60" t="str">
            <v>vcamp</v>
          </cell>
          <cell r="F60" t="str">
            <v>Bacteria</v>
          </cell>
          <cell r="G60" t="str">
            <v>Proteobacteria</v>
          </cell>
          <cell r="H60" t="str">
            <v>Gammaproteobacteria</v>
          </cell>
          <cell r="I60" t="str">
            <v>Vibrionales</v>
          </cell>
        </row>
        <row r="61">
          <cell r="D61" t="str">
            <v>Vibrio natriegens</v>
          </cell>
          <cell r="E61" t="str">
            <v>vnat</v>
          </cell>
          <cell r="F61" t="str">
            <v>Bacteria</v>
          </cell>
          <cell r="G61" t="str">
            <v>Proteobacteria</v>
          </cell>
          <cell r="H61" t="str">
            <v>Gammaproteobacteria</v>
          </cell>
          <cell r="I61" t="str">
            <v>Vibrionales</v>
          </cell>
        </row>
        <row r="62">
          <cell r="D62" t="str">
            <v>Pseudoalteromonas citrea</v>
          </cell>
          <cell r="E62" t="str">
            <v>citrea</v>
          </cell>
          <cell r="F62" t="str">
            <v>Bacteria</v>
          </cell>
          <cell r="G62" t="str">
            <v>Proteobacteria</v>
          </cell>
          <cell r="H62" t="str">
            <v>Gammaproteobacteria</v>
          </cell>
          <cell r="I62" t="str">
            <v>Alteromonadales</v>
          </cell>
        </row>
        <row r="63">
          <cell r="D63" t="str">
            <v>Psychromonas ossibalaenae</v>
          </cell>
          <cell r="E63" t="str">
            <v>psych</v>
          </cell>
          <cell r="F63" t="str">
            <v>Bacteria</v>
          </cell>
          <cell r="G63" t="str">
            <v>Proteobacteria</v>
          </cell>
          <cell r="H63" t="str">
            <v>Gammaproteobacteria</v>
          </cell>
          <cell r="I63" t="str">
            <v>Alteromonadales</v>
          </cell>
        </row>
        <row r="64">
          <cell r="D64" t="str">
            <v>Psychromonas arctica</v>
          </cell>
          <cell r="E64" t="str">
            <v>Parctic</v>
          </cell>
          <cell r="F64" t="str">
            <v>Bacteria</v>
          </cell>
          <cell r="G64" t="str">
            <v>Proteobacteria</v>
          </cell>
          <cell r="H64" t="str">
            <v>Gammaproteobacteria</v>
          </cell>
          <cell r="I64" t="str">
            <v>Alteromonadales</v>
          </cell>
        </row>
        <row r="65">
          <cell r="D65" t="str">
            <v>Luca8</v>
          </cell>
          <cell r="E65" t="str">
            <v>Luca8</v>
          </cell>
          <cell r="F65" t="str">
            <v>Bacteria</v>
          </cell>
          <cell r="G65" t="str">
            <v>Proteobacteria</v>
          </cell>
          <cell r="H65" t="str">
            <v>Alphaproteobacteria</v>
          </cell>
          <cell r="I65" t="str">
            <v>Rhodobacterales</v>
          </cell>
        </row>
        <row r="66">
          <cell r="D66" t="str">
            <v>Shewanella oneidensis</v>
          </cell>
          <cell r="E66" t="str">
            <v>MR1</v>
          </cell>
          <cell r="F66" t="str">
            <v>Bacteria</v>
          </cell>
          <cell r="G66" t="str">
            <v>Proteobacteria</v>
          </cell>
          <cell r="H66" t="str">
            <v>Gammaproteobacteria</v>
          </cell>
          <cell r="I66" t="str">
            <v>Alteromonadales</v>
          </cell>
        </row>
        <row r="67">
          <cell r="D67" t="str">
            <v>Pseudobacteriovorax antillogorgiicola</v>
          </cell>
          <cell r="E67" t="str">
            <v>vorax</v>
          </cell>
          <cell r="F67" t="str">
            <v>Bacteria</v>
          </cell>
          <cell r="G67" t="str">
            <v>Proteobacteria</v>
          </cell>
          <cell r="H67" t="str">
            <v>Oligoflexia</v>
          </cell>
          <cell r="I67" t="str">
            <v>Bdellovibrionales</v>
          </cell>
        </row>
        <row r="68">
          <cell r="D68" t="str">
            <v>HOT5_B10</v>
          </cell>
          <cell r="E68" t="str">
            <v>HOT5_B10</v>
          </cell>
          <cell r="F68" t="str">
            <v>Bacteria</v>
          </cell>
          <cell r="G68" t="str">
            <v>Proteobacteria</v>
          </cell>
          <cell r="H68" t="str">
            <v>Alphaproteobacteria</v>
          </cell>
          <cell r="I68" t="str">
            <v>Rhodobacterales</v>
          </cell>
        </row>
        <row r="69">
          <cell r="D69" t="str">
            <v>HOT5_C3</v>
          </cell>
          <cell r="E69" t="str">
            <v>HOT5_C3</v>
          </cell>
          <cell r="F69" t="str">
            <v>Bacteria</v>
          </cell>
          <cell r="G69" t="str">
            <v>Proteobacteria</v>
          </cell>
          <cell r="H69" t="str">
            <v>Alphaproteobacteria</v>
          </cell>
          <cell r="I69" t="str">
            <v>Rhodobacterales</v>
          </cell>
        </row>
        <row r="70">
          <cell r="D70" t="str">
            <v>HOT5_F3</v>
          </cell>
          <cell r="E70" t="str">
            <v>HOT5_F3</v>
          </cell>
          <cell r="F70" t="str">
            <v>Bacteria</v>
          </cell>
          <cell r="G70" t="str">
            <v>Proteobacteria</v>
          </cell>
          <cell r="H70" t="str">
            <v>Alphaproteobacteria</v>
          </cell>
          <cell r="I70" t="str">
            <v>Rhodobacterales</v>
          </cell>
        </row>
        <row r="71">
          <cell r="D71" t="str">
            <v>Rhodopirellula baltica</v>
          </cell>
          <cell r="E71" t="str">
            <v>Rbalt</v>
          </cell>
          <cell r="F71" t="str">
            <v>Bacteria</v>
          </cell>
          <cell r="G71" t="str">
            <v>Planctomycetes</v>
          </cell>
          <cell r="H71" t="str">
            <v>Planctomycea</v>
          </cell>
          <cell r="I71" t="str">
            <v>Planctomycetales</v>
          </cell>
        </row>
        <row r="72">
          <cell r="D72" t="str">
            <v>Magnetococcus marinus</v>
          </cell>
          <cell r="F72" t="str">
            <v>Bacteria</v>
          </cell>
          <cell r="G72" t="str">
            <v>Proteobacteria</v>
          </cell>
          <cell r="H72" t="str">
            <v>Alphaproteobacteria</v>
          </cell>
          <cell r="I72" t="str">
            <v>NA</v>
          </cell>
        </row>
        <row r="73">
          <cell r="D73" t="str">
            <v>Ensifer meliloti</v>
          </cell>
          <cell r="F73" t="str">
            <v>Bacteria</v>
          </cell>
          <cell r="G73" t="str">
            <v>Proteobacteria</v>
          </cell>
          <cell r="H73" t="str">
            <v>Alphaproteobacteria</v>
          </cell>
          <cell r="I73" t="str">
            <v>Rhizobiales</v>
          </cell>
        </row>
        <row r="74">
          <cell r="D74" t="str">
            <v>Sulfurimonas denitrificans</v>
          </cell>
          <cell r="F74" t="str">
            <v>Bacteria</v>
          </cell>
          <cell r="G74" t="str">
            <v>Proteobacteria</v>
          </cell>
          <cell r="H74" t="str">
            <v>Epsilonproteobacteria</v>
          </cell>
          <cell r="I74" t="str">
            <v>Campylobacterales</v>
          </cell>
        </row>
        <row r="75">
          <cell r="D75" t="str">
            <v>Hydrogenovibrio marinus</v>
          </cell>
          <cell r="F75" t="str">
            <v>Bacteria</v>
          </cell>
          <cell r="G75" t="str">
            <v>Proteobacteria</v>
          </cell>
          <cell r="H75" t="str">
            <v>Gammaproteobacteria</v>
          </cell>
          <cell r="I75" t="str">
            <v>Thiotrichales</v>
          </cell>
        </row>
        <row r="76">
          <cell r="D76" t="str">
            <v>Halomonas campaniensis</v>
          </cell>
          <cell r="F76" t="str">
            <v>Bacteria</v>
          </cell>
          <cell r="G76" t="str">
            <v>Proteobacteria</v>
          </cell>
          <cell r="H76" t="str">
            <v>Gammaproteobacteria</v>
          </cell>
          <cell r="I76" t="str">
            <v>Oceanospirillales</v>
          </cell>
        </row>
        <row r="77">
          <cell r="D77" t="str">
            <v>Desulfopila aestuarii</v>
          </cell>
          <cell r="F77" t="str">
            <v>Bacteria</v>
          </cell>
          <cell r="G77" t="str">
            <v>Proteobacteria</v>
          </cell>
          <cell r="H77" t="str">
            <v>Deltaproteobacteria</v>
          </cell>
          <cell r="I77" t="str">
            <v>Desulfobacterales</v>
          </cell>
        </row>
        <row r="78">
          <cell r="D78" t="str">
            <v>Marinobacter salarius</v>
          </cell>
          <cell r="F78" t="str">
            <v>Bacteria</v>
          </cell>
          <cell r="G78" t="str">
            <v>Proteobacteria</v>
          </cell>
          <cell r="H78" t="str">
            <v>Gammaproteobacteria</v>
          </cell>
          <cell r="I78" t="str">
            <v>Alteromonadales</v>
          </cell>
        </row>
        <row r="79">
          <cell r="D79" t="str">
            <v>Nitrosococcus oceani</v>
          </cell>
          <cell r="F79" t="str">
            <v>Bacteria</v>
          </cell>
          <cell r="G79" t="str">
            <v>Proteobacteria</v>
          </cell>
          <cell r="H79" t="str">
            <v>Gammaproteobacteria</v>
          </cell>
          <cell r="I79" t="str">
            <v>Chromatiales</v>
          </cell>
        </row>
        <row r="80">
          <cell r="D80" t="str">
            <v>Loktanella vestfoldensis</v>
          </cell>
          <cell r="F80" t="str">
            <v>Bacteria</v>
          </cell>
          <cell r="G80" t="str">
            <v>Proteobacteria</v>
          </cell>
          <cell r="H80" t="str">
            <v>Alphaproteobacteria</v>
          </cell>
          <cell r="I80" t="str">
            <v>Rhodobacterales</v>
          </cell>
        </row>
        <row r="81">
          <cell r="D81" t="str">
            <v>Antarctobacter heliothermus</v>
          </cell>
          <cell r="F81" t="str">
            <v>Bacteria</v>
          </cell>
          <cell r="G81" t="str">
            <v>Proteobacteria</v>
          </cell>
          <cell r="H81" t="str">
            <v>Alphaproteobacteria</v>
          </cell>
          <cell r="I81" t="str">
            <v>Rhodobacterales</v>
          </cell>
        </row>
        <row r="82">
          <cell r="D82" t="str">
            <v>Spirochaeta cellobiosiphila</v>
          </cell>
          <cell r="F82" t="str">
            <v>Bacteria</v>
          </cell>
          <cell r="G82" t="str">
            <v>Spirochaetes</v>
          </cell>
          <cell r="H82" t="str">
            <v>Spirochaetes</v>
          </cell>
          <cell r="I82" t="str">
            <v>Spirochaetales</v>
          </cell>
        </row>
        <row r="83">
          <cell r="D83" t="str">
            <v>Thiomicrospira sp.</v>
          </cell>
          <cell r="F83" t="str">
            <v>Bacteria</v>
          </cell>
          <cell r="G83" t="str">
            <v>Proteobacteria</v>
          </cell>
          <cell r="H83" t="str">
            <v>Gammaproteobacteria</v>
          </cell>
          <cell r="I83" t="str">
            <v>Thiotrichales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>
      <selection activeCell="D21" sqref="D21"/>
    </sheetView>
  </sheetViews>
  <sheetFormatPr defaultRowHeight="14.5" x14ac:dyDescent="0.35"/>
  <sheetData>
    <row r="1" spans="1:6" x14ac:dyDescent="0.35">
      <c r="A1" s="1" t="s">
        <v>0</v>
      </c>
      <c r="B1" s="1">
        <v>10</v>
      </c>
      <c r="C1" s="1">
        <v>15</v>
      </c>
      <c r="D1" s="1">
        <v>20</v>
      </c>
      <c r="E1" s="1">
        <v>25</v>
      </c>
      <c r="F1" s="1">
        <v>30</v>
      </c>
    </row>
    <row r="2" spans="1:6" x14ac:dyDescent="0.35">
      <c r="A2" s="1">
        <v>25922</v>
      </c>
      <c r="B2">
        <v>1.1607142857142851E-3</v>
      </c>
      <c r="C2">
        <v>2.064285714285714E-2</v>
      </c>
      <c r="D2">
        <v>2.3506377551020408E-2</v>
      </c>
      <c r="E2">
        <v>3.8088235294117631E-2</v>
      </c>
      <c r="F2">
        <v>2.217441860465116E-2</v>
      </c>
    </row>
    <row r="3" spans="1:6" x14ac:dyDescent="0.35">
      <c r="A3" s="1">
        <v>26499</v>
      </c>
      <c r="B3">
        <v>1.7624999999999998E-2</v>
      </c>
      <c r="C3">
        <v>6.155357142857143E-2</v>
      </c>
      <c r="D3">
        <v>0.1688188775510204</v>
      </c>
      <c r="E3">
        <v>0.1445896032831738</v>
      </c>
      <c r="F3">
        <v>0.245</v>
      </c>
    </row>
    <row r="4" spans="1:6" x14ac:dyDescent="0.35">
      <c r="A4" s="1">
        <v>27126</v>
      </c>
      <c r="B4">
        <v>2.0535714285714302E-3</v>
      </c>
      <c r="C4">
        <v>4.8535714285714279E-2</v>
      </c>
      <c r="D4">
        <v>7.4056122448979578E-2</v>
      </c>
      <c r="E4">
        <v>0.16029411764705889</v>
      </c>
      <c r="F4">
        <v>0.1194117647058823</v>
      </c>
    </row>
    <row r="5" spans="1:6" x14ac:dyDescent="0.35">
      <c r="A5" s="1" t="s">
        <v>1</v>
      </c>
      <c r="B5">
        <v>5.1333789329685413E-4</v>
      </c>
      <c r="C5">
        <v>2.7857142857142872E-3</v>
      </c>
      <c r="D5">
        <v>0.11143980848153209</v>
      </c>
      <c r="E5">
        <v>2.11764705882353E-2</v>
      </c>
      <c r="F5">
        <v>0.22846726190476199</v>
      </c>
    </row>
    <row r="6" spans="1:6" x14ac:dyDescent="0.35">
      <c r="A6" s="1" t="s">
        <v>2</v>
      </c>
      <c r="B6">
        <v>3.089285714285715E-3</v>
      </c>
      <c r="C6">
        <v>1.7803571428571429E-2</v>
      </c>
      <c r="D6">
        <v>3.2390306122448982E-2</v>
      </c>
      <c r="E6">
        <v>4.0441176470588237E-2</v>
      </c>
      <c r="F6">
        <v>0.12512499999999999</v>
      </c>
    </row>
    <row r="7" spans="1:6" x14ac:dyDescent="0.35">
      <c r="A7" s="1" t="s">
        <v>3</v>
      </c>
      <c r="B7">
        <v>9.2624999999999985E-2</v>
      </c>
      <c r="C7">
        <v>0.13750000000000001</v>
      </c>
      <c r="D7">
        <v>0.16045434336525299</v>
      </c>
      <c r="E7">
        <v>0.16647058823529409</v>
      </c>
      <c r="F7">
        <v>0.1130335157318742</v>
      </c>
    </row>
    <row r="8" spans="1:6" x14ac:dyDescent="0.35">
      <c r="A8" s="1" t="s">
        <v>4</v>
      </c>
      <c r="B8">
        <v>1.55E-2</v>
      </c>
      <c r="C8">
        <v>6.7874999999999991E-2</v>
      </c>
      <c r="D8">
        <v>7.7106549596582821E-2</v>
      </c>
      <c r="E8">
        <v>0.15926470588235289</v>
      </c>
      <c r="F8">
        <v>7.8088235294117653E-2</v>
      </c>
    </row>
    <row r="9" spans="1:6" x14ac:dyDescent="0.35">
      <c r="A9" s="1" t="s">
        <v>5</v>
      </c>
      <c r="B9">
        <v>1.7125000000000001E-2</v>
      </c>
      <c r="C9">
        <v>7.6874999999999999E-2</v>
      </c>
      <c r="D9">
        <v>6.9975340136054442E-2</v>
      </c>
      <c r="E9">
        <v>0.11641586867305059</v>
      </c>
      <c r="F9">
        <v>8.8796169630642977E-2</v>
      </c>
    </row>
    <row r="10" spans="1:6" x14ac:dyDescent="0.35">
      <c r="A10" s="1" t="s">
        <v>6</v>
      </c>
      <c r="B10">
        <v>6.6911764705882373E-4</v>
      </c>
      <c r="C10">
        <v>5.7142857142857191E-4</v>
      </c>
      <c r="D10">
        <v>7.3255813953488329E-3</v>
      </c>
      <c r="E10">
        <v>1.441176470588236E-2</v>
      </c>
      <c r="F10">
        <v>4.7168367346938807E-2</v>
      </c>
    </row>
    <row r="11" spans="1:6" x14ac:dyDescent="0.35">
      <c r="A11" s="1" t="s">
        <v>7</v>
      </c>
      <c r="B11">
        <v>1.0749999999999999E-2</v>
      </c>
      <c r="C11">
        <v>1.455357142857143E-2</v>
      </c>
      <c r="D11">
        <v>1.498214285714285E-2</v>
      </c>
      <c r="E11">
        <v>2.6911764705882361E-2</v>
      </c>
      <c r="F11">
        <v>7.2329931972789141E-2</v>
      </c>
    </row>
    <row r="12" spans="1:6" x14ac:dyDescent="0.35">
      <c r="A12" s="1" t="s">
        <v>8</v>
      </c>
      <c r="B12">
        <v>9.3035714285714319E-3</v>
      </c>
      <c r="C12">
        <v>5.082738095238095E-2</v>
      </c>
      <c r="D12">
        <v>9.9240448504983383E-2</v>
      </c>
      <c r="E12">
        <v>0.1677210884353742</v>
      </c>
      <c r="F12">
        <v>0.18823871409028731</v>
      </c>
    </row>
    <row r="13" spans="1:6" x14ac:dyDescent="0.35">
      <c r="A13" s="1" t="s">
        <v>9</v>
      </c>
      <c r="B13">
        <v>7.4149659863945454E-4</v>
      </c>
      <c r="C13">
        <v>2.1607142857142849E-3</v>
      </c>
      <c r="D13">
        <v>2.916071428571429E-2</v>
      </c>
      <c r="E13">
        <v>5.0285714285714281E-2</v>
      </c>
      <c r="F13">
        <v>2.7839285714285719E-2</v>
      </c>
    </row>
    <row r="14" spans="1:6" x14ac:dyDescent="0.35">
      <c r="A14" s="1" t="s">
        <v>10</v>
      </c>
      <c r="B14">
        <v>4.6981292517006828E-4</v>
      </c>
      <c r="C14">
        <v>6.4285714285714337E-4</v>
      </c>
      <c r="D14">
        <v>2.9821428571428568E-3</v>
      </c>
      <c r="E14">
        <v>1.331462585034014E-2</v>
      </c>
      <c r="F14">
        <v>1.8687499999999999E-2</v>
      </c>
    </row>
    <row r="15" spans="1:6" x14ac:dyDescent="0.35">
      <c r="A15" s="1" t="s">
        <v>11</v>
      </c>
      <c r="B15">
        <v>7.0408163265306E-4</v>
      </c>
      <c r="C15">
        <v>1.785714285714285E-3</v>
      </c>
      <c r="D15">
        <v>4.589285714285715E-3</v>
      </c>
      <c r="E15">
        <v>1.9839285714285709E-2</v>
      </c>
      <c r="F15">
        <v>2.511309523809524E-2</v>
      </c>
    </row>
    <row r="16" spans="1:6" x14ac:dyDescent="0.35">
      <c r="A16" s="1" t="s">
        <v>12</v>
      </c>
      <c r="B16">
        <v>1.619528043775652E-3</v>
      </c>
      <c r="C16">
        <v>2.1428571428571451E-3</v>
      </c>
      <c r="D16">
        <v>6.4098639455782321E-3</v>
      </c>
      <c r="E16">
        <v>1.892857142857142E-2</v>
      </c>
      <c r="F16">
        <v>2.5749999999999999E-2</v>
      </c>
    </row>
    <row r="17" spans="1:6" x14ac:dyDescent="0.35">
      <c r="A17" s="1" t="s">
        <v>13</v>
      </c>
      <c r="B17">
        <v>3.767857142857144E-3</v>
      </c>
      <c r="C17">
        <v>1.716071428571429E-2</v>
      </c>
      <c r="D17">
        <v>1.7250000000000001E-2</v>
      </c>
      <c r="E17">
        <v>4.4609693877551017E-2</v>
      </c>
      <c r="F17">
        <v>5.0756377551020422E-2</v>
      </c>
    </row>
    <row r="18" spans="1:6" x14ac:dyDescent="0.35">
      <c r="A18" s="1" t="s">
        <v>14</v>
      </c>
      <c r="B18">
        <v>1.539615846338536E-3</v>
      </c>
      <c r="C18">
        <v>2.9107142857142851E-3</v>
      </c>
      <c r="D18">
        <v>6.5178571428571412E-3</v>
      </c>
      <c r="E18">
        <v>1.1984375145406999E-2</v>
      </c>
      <c r="F18">
        <v>1.827083333333333E-2</v>
      </c>
    </row>
    <row r="19" spans="1:6" x14ac:dyDescent="0.35">
      <c r="A19" s="1" t="s">
        <v>15</v>
      </c>
      <c r="B19">
        <v>8.4390267735001061E-4</v>
      </c>
      <c r="C19">
        <v>6.0535714285714264E-3</v>
      </c>
      <c r="D19">
        <v>1.4415391156462591E-2</v>
      </c>
      <c r="E19">
        <v>2.725E-2</v>
      </c>
      <c r="F19">
        <v>2.7604166666666669E-2</v>
      </c>
    </row>
    <row r="20" spans="1:6" x14ac:dyDescent="0.35">
      <c r="A20" s="1" t="s">
        <v>16</v>
      </c>
      <c r="B20">
        <v>1.5482142857142859E-2</v>
      </c>
      <c r="C20">
        <v>6.6910289115646268E-2</v>
      </c>
      <c r="D20">
        <v>7.1060533515731869E-2</v>
      </c>
      <c r="E20">
        <v>8.1241450068399473E-2</v>
      </c>
      <c r="F20">
        <v>8.5306771545827637E-2</v>
      </c>
    </row>
    <row r="21" spans="1:6" x14ac:dyDescent="0.35">
      <c r="A21" s="1" t="s">
        <v>17</v>
      </c>
      <c r="B21">
        <v>8.2158270284858129E-3</v>
      </c>
      <c r="C21">
        <v>2.3125E-2</v>
      </c>
      <c r="D21">
        <v>1.9883720930232562E-2</v>
      </c>
      <c r="E21">
        <v>2.8676470588235289E-2</v>
      </c>
      <c r="F21">
        <v>3.3241763565891473E-2</v>
      </c>
    </row>
    <row r="22" spans="1:6" x14ac:dyDescent="0.35">
      <c r="A22" s="1" t="s">
        <v>18</v>
      </c>
      <c r="B22">
        <v>4.5833333333333392E-4</v>
      </c>
      <c r="C22">
        <v>1.877100840336136E-3</v>
      </c>
      <c r="D22">
        <v>7.4179206566347454E-3</v>
      </c>
      <c r="E22">
        <v>1.9558823529411771E-2</v>
      </c>
      <c r="F22">
        <v>6.3726615646258533E-2</v>
      </c>
    </row>
    <row r="23" spans="1:6" x14ac:dyDescent="0.35">
      <c r="A23" s="1" t="s">
        <v>19</v>
      </c>
      <c r="B23">
        <v>1.7500000000000002E-2</v>
      </c>
      <c r="C23">
        <v>2.1250000000000002E-2</v>
      </c>
      <c r="D23">
        <v>2.602976190476191E-2</v>
      </c>
      <c r="E23">
        <v>7.6458758503401392E-2</v>
      </c>
      <c r="F23">
        <v>9.4579343365252806E-4</v>
      </c>
    </row>
    <row r="24" spans="1:6" x14ac:dyDescent="0.35">
      <c r="A24" s="1" t="s">
        <v>20</v>
      </c>
      <c r="B24">
        <v>2.1250000000000019E-3</v>
      </c>
      <c r="C24">
        <v>1.3767857142857141E-2</v>
      </c>
      <c r="D24">
        <v>3.1785714285714292E-2</v>
      </c>
      <c r="E24">
        <v>5.7604166666666679E-2</v>
      </c>
      <c r="F24">
        <v>0.19775000000000001</v>
      </c>
    </row>
    <row r="25" spans="1:6" x14ac:dyDescent="0.35">
      <c r="A25" s="1" t="s">
        <v>21</v>
      </c>
      <c r="B25">
        <v>5.4411764705882416E-4</v>
      </c>
      <c r="C25">
        <v>2.517857142857142E-3</v>
      </c>
      <c r="D25">
        <v>9.3571428571428555E-3</v>
      </c>
      <c r="E25">
        <v>2.294117647058825E-2</v>
      </c>
      <c r="F25">
        <v>3.7125000000000012E-2</v>
      </c>
    </row>
    <row r="26" spans="1:6" x14ac:dyDescent="0.35">
      <c r="A26" s="1" t="s">
        <v>22</v>
      </c>
      <c r="B26">
        <v>8.5714285714285719E-3</v>
      </c>
      <c r="C26">
        <v>3.2375000000000001E-2</v>
      </c>
      <c r="D26">
        <v>3.3437500000000009E-2</v>
      </c>
      <c r="E26">
        <v>4.7205882352941188E-2</v>
      </c>
      <c r="F26">
        <v>0.10162499999999999</v>
      </c>
    </row>
    <row r="27" spans="1:6" x14ac:dyDescent="0.35">
      <c r="A27" s="1" t="s">
        <v>23</v>
      </c>
      <c r="B27">
        <v>2.5461696306429508E-4</v>
      </c>
      <c r="C27">
        <v>9.8255813953488291E-4</v>
      </c>
      <c r="D27">
        <v>5.2667578659370781E-4</v>
      </c>
      <c r="E27">
        <v>1.7352941176470599E-2</v>
      </c>
      <c r="F27">
        <v>7.7083333333333431E-4</v>
      </c>
    </row>
    <row r="28" spans="1:6" x14ac:dyDescent="0.35">
      <c r="A28" s="1" t="s">
        <v>24</v>
      </c>
      <c r="B28">
        <v>1.5661764705882349E-3</v>
      </c>
      <c r="C28">
        <v>1.964285714285716E-4</v>
      </c>
      <c r="D28">
        <v>1.09610123119015E-2</v>
      </c>
      <c r="E28">
        <v>2.0294117647058831E-2</v>
      </c>
      <c r="F28">
        <v>8.0299744897959227E-2</v>
      </c>
    </row>
    <row r="29" spans="1:6" x14ac:dyDescent="0.35">
      <c r="A29" s="1" t="s">
        <v>25</v>
      </c>
      <c r="B29">
        <v>6.7034313725490026E-4</v>
      </c>
      <c r="C29">
        <v>1.9107142857142871E-3</v>
      </c>
      <c r="D29">
        <v>1.3378932968536251E-2</v>
      </c>
      <c r="E29">
        <v>2.088235294117648E-2</v>
      </c>
      <c r="F29">
        <v>4.68856292517007E-2</v>
      </c>
    </row>
    <row r="30" spans="1:6" x14ac:dyDescent="0.35">
      <c r="A30" s="1" t="s">
        <v>26</v>
      </c>
      <c r="B30">
        <v>2.325581395348839E-4</v>
      </c>
      <c r="C30">
        <v>1.4705882352941181E-4</v>
      </c>
      <c r="D30">
        <v>1.165806438854611E-3</v>
      </c>
      <c r="E30">
        <v>1.544117647058825E-2</v>
      </c>
      <c r="F30">
        <v>9.562074829931981E-4</v>
      </c>
    </row>
    <row r="31" spans="1:6" x14ac:dyDescent="0.35">
      <c r="A31" s="1" t="s">
        <v>27</v>
      </c>
      <c r="B31">
        <v>1.267857142857143E-2</v>
      </c>
      <c r="C31">
        <v>2.4250000000000001E-2</v>
      </c>
      <c r="D31">
        <v>2.03779761904762E-2</v>
      </c>
      <c r="E31">
        <v>2.8875000000000008E-2</v>
      </c>
      <c r="F31">
        <v>3.431867979750039E-2</v>
      </c>
    </row>
    <row r="32" spans="1:6" x14ac:dyDescent="0.35">
      <c r="A32" s="1" t="s">
        <v>28</v>
      </c>
      <c r="B32">
        <v>7.8928571428571407E-3</v>
      </c>
      <c r="C32">
        <v>2.3136904761904761E-2</v>
      </c>
      <c r="D32">
        <v>3.4916666666666679E-2</v>
      </c>
      <c r="E32">
        <v>5.5506229235880403E-2</v>
      </c>
      <c r="F32">
        <v>1.567715458276334E-2</v>
      </c>
    </row>
    <row r="33" spans="1:6" x14ac:dyDescent="0.35">
      <c r="A33" s="1" t="s">
        <v>29</v>
      </c>
      <c r="B33">
        <v>3.1254152823920259E-3</v>
      </c>
      <c r="C33">
        <v>2.1053571428571428E-2</v>
      </c>
      <c r="D33">
        <v>2.3125E-2</v>
      </c>
      <c r="E33">
        <v>3.0000000000000009E-2</v>
      </c>
      <c r="F33">
        <v>3.1520833333333331E-2</v>
      </c>
    </row>
    <row r="34" spans="1:6" x14ac:dyDescent="0.35">
      <c r="A34" s="1" t="s">
        <v>30</v>
      </c>
      <c r="B34">
        <v>1.55E-2</v>
      </c>
      <c r="C34">
        <v>4.5784438775510222E-2</v>
      </c>
      <c r="D34">
        <v>0.1154411764705882</v>
      </c>
      <c r="E34">
        <v>6.8676470588235283E-2</v>
      </c>
      <c r="F34">
        <v>7.3970588235294094E-2</v>
      </c>
    </row>
    <row r="35" spans="1:6" x14ac:dyDescent="0.35">
      <c r="A35" s="1" t="s">
        <v>31</v>
      </c>
      <c r="B35">
        <v>1.8109243697478981E-3</v>
      </c>
      <c r="C35">
        <v>1.071428571428572E-2</v>
      </c>
      <c r="D35">
        <v>2.9000000000000008E-2</v>
      </c>
      <c r="E35">
        <v>4.2603035400206601E-2</v>
      </c>
      <c r="F35">
        <v>0.12712499999999999</v>
      </c>
    </row>
    <row r="36" spans="1:6" x14ac:dyDescent="0.35">
      <c r="A36" s="1" t="s">
        <v>32</v>
      </c>
      <c r="B36">
        <v>2.857743097238896E-3</v>
      </c>
      <c r="C36">
        <v>6.2678571428571427E-3</v>
      </c>
      <c r="D36">
        <v>1.4410714285714291E-2</v>
      </c>
      <c r="E36">
        <v>3.2941176470588251E-2</v>
      </c>
      <c r="F36">
        <v>9.1124999999999998E-2</v>
      </c>
    </row>
    <row r="37" spans="1:6" x14ac:dyDescent="0.35">
      <c r="A37" s="1" t="s">
        <v>33</v>
      </c>
      <c r="B37">
        <v>1.017954856361148E-3</v>
      </c>
      <c r="C37">
        <v>1.6249999999999999E-3</v>
      </c>
      <c r="D37">
        <v>9.9631131522376218E-4</v>
      </c>
      <c r="E37">
        <v>1.9558823529411771E-2</v>
      </c>
      <c r="F37">
        <v>3.2685374149659857E-2</v>
      </c>
    </row>
    <row r="38" spans="1:6" x14ac:dyDescent="0.35">
      <c r="A38" s="1" t="s">
        <v>34</v>
      </c>
      <c r="B38">
        <v>8.839285714285711E-3</v>
      </c>
      <c r="C38">
        <v>1.2999999999999999E-2</v>
      </c>
      <c r="D38">
        <v>1.542857142857143E-2</v>
      </c>
      <c r="E38">
        <v>2.0750000000000001E-2</v>
      </c>
      <c r="F38">
        <v>2.69375E-2</v>
      </c>
    </row>
    <row r="39" spans="1:6" x14ac:dyDescent="0.35">
      <c r="A39" s="1" t="s">
        <v>35</v>
      </c>
      <c r="B39">
        <v>1.067857142857143E-2</v>
      </c>
      <c r="C39">
        <v>1.468750000000001E-2</v>
      </c>
      <c r="D39">
        <v>2.102941176470588E-2</v>
      </c>
      <c r="E39">
        <v>2.8676470588235279E-2</v>
      </c>
      <c r="F39">
        <v>1.9252551020408161E-2</v>
      </c>
    </row>
    <row r="40" spans="1:6" x14ac:dyDescent="0.35">
      <c r="A40" s="1" t="s">
        <v>36</v>
      </c>
      <c r="B40">
        <v>3.4999999999999992E-3</v>
      </c>
      <c r="C40">
        <v>1.1124999999999999E-2</v>
      </c>
      <c r="D40">
        <v>6.928571428571428E-3</v>
      </c>
      <c r="E40">
        <v>2.6029411764705891E-2</v>
      </c>
      <c r="F40">
        <v>7.6624999999999999E-2</v>
      </c>
    </row>
    <row r="41" spans="1:6" x14ac:dyDescent="0.35">
      <c r="A41" s="1" t="s">
        <v>37</v>
      </c>
      <c r="B41">
        <v>3.5416666666666702E-4</v>
      </c>
      <c r="C41">
        <v>3.4331988609397269E-4</v>
      </c>
      <c r="D41">
        <v>1.5969387755102021E-3</v>
      </c>
      <c r="E41">
        <v>1.9264705882352951E-2</v>
      </c>
      <c r="F41">
        <v>2.5579081632653069E-2</v>
      </c>
    </row>
    <row r="42" spans="1:6" x14ac:dyDescent="0.35">
      <c r="A42" s="1" t="s">
        <v>38</v>
      </c>
      <c r="B42">
        <v>1.854166666666665E-3</v>
      </c>
      <c r="C42">
        <v>5.3214285714285716E-3</v>
      </c>
      <c r="D42">
        <v>4.1785714285714291E-3</v>
      </c>
      <c r="E42">
        <v>2.250000000000001E-2</v>
      </c>
      <c r="F42">
        <v>3.0142431972789121E-2</v>
      </c>
    </row>
    <row r="43" spans="1:6" x14ac:dyDescent="0.35">
      <c r="A43" s="1" t="s">
        <v>39</v>
      </c>
      <c r="B43">
        <v>2.6333789329685369E-4</v>
      </c>
      <c r="C43">
        <v>3.3333333333333381E-4</v>
      </c>
      <c r="D43">
        <v>2.069767441860465E-2</v>
      </c>
      <c r="E43">
        <v>1.7500000000000009E-2</v>
      </c>
      <c r="F43">
        <v>8.3454506802721151E-2</v>
      </c>
    </row>
    <row r="44" spans="1:6" x14ac:dyDescent="0.35">
      <c r="A44" s="1" t="s">
        <v>40</v>
      </c>
      <c r="B44">
        <v>1.3180272108843541E-3</v>
      </c>
      <c r="C44">
        <v>1.0690476190476189E-2</v>
      </c>
      <c r="D44">
        <v>2.3048469387755101E-2</v>
      </c>
      <c r="E44">
        <v>3.7352941176470603E-2</v>
      </c>
      <c r="F44">
        <v>5.5874999999999987E-2</v>
      </c>
    </row>
    <row r="45" spans="1:6" x14ac:dyDescent="0.35">
      <c r="A45" s="1" t="s">
        <v>41</v>
      </c>
      <c r="B45">
        <v>5.0204081632653054E-3</v>
      </c>
      <c r="C45">
        <v>1.080357142857143E-2</v>
      </c>
      <c r="D45">
        <v>1.5659013605442178E-2</v>
      </c>
      <c r="E45">
        <v>2.3501275510204079E-2</v>
      </c>
      <c r="F45">
        <v>2.872916666666666E-2</v>
      </c>
    </row>
    <row r="46" spans="1:6" x14ac:dyDescent="0.35">
      <c r="A46" s="1" t="s">
        <v>42</v>
      </c>
      <c r="B46">
        <v>4.0714285714285696E-3</v>
      </c>
      <c r="C46">
        <v>1.354166666666665E-3</v>
      </c>
      <c r="D46">
        <v>9.2236662106703095E-3</v>
      </c>
      <c r="E46">
        <v>2.0000000000000011E-2</v>
      </c>
      <c r="F46">
        <v>0.1397066326530613</v>
      </c>
    </row>
    <row r="47" spans="1:6" x14ac:dyDescent="0.35">
      <c r="A47" s="1" t="s">
        <v>43</v>
      </c>
      <c r="B47">
        <v>6.8697478991596719E-4</v>
      </c>
      <c r="C47">
        <v>6.1607142857142833E-3</v>
      </c>
      <c r="D47">
        <v>1.5969812925170069E-2</v>
      </c>
      <c r="E47">
        <v>3.7205882352941193E-2</v>
      </c>
      <c r="F47">
        <v>3.9999999999999987E-2</v>
      </c>
    </row>
    <row r="48" spans="1:6" x14ac:dyDescent="0.35">
      <c r="A48" s="1" t="s">
        <v>44</v>
      </c>
      <c r="B48">
        <v>2.43452380952381E-3</v>
      </c>
      <c r="C48">
        <v>1.055357142857143E-2</v>
      </c>
      <c r="D48">
        <v>1.4076094391244871E-2</v>
      </c>
      <c r="E48">
        <v>1.8823529411764711E-2</v>
      </c>
      <c r="F48">
        <v>2.151360544217687E-2</v>
      </c>
    </row>
    <row r="49" spans="1:6" x14ac:dyDescent="0.35">
      <c r="A49" s="1" t="s">
        <v>45</v>
      </c>
      <c r="B49">
        <v>4.4117647058823591E-4</v>
      </c>
      <c r="C49">
        <v>4.6071428571428574E-3</v>
      </c>
      <c r="D49">
        <v>2.1562500000000009E-2</v>
      </c>
      <c r="E49">
        <v>3.9100547195622448E-2</v>
      </c>
      <c r="F49">
        <v>3.2522058823529418E-2</v>
      </c>
    </row>
    <row r="50" spans="1:6" x14ac:dyDescent="0.35">
      <c r="A50" s="1" t="s">
        <v>46</v>
      </c>
      <c r="B50">
        <v>1.946428571428572E-3</v>
      </c>
      <c r="C50">
        <v>1.741071428571429E-2</v>
      </c>
      <c r="D50">
        <v>1.084654094195818E-2</v>
      </c>
      <c r="E50">
        <v>2.3382352941176479E-2</v>
      </c>
      <c r="F50">
        <v>3.7665816326530627E-2</v>
      </c>
    </row>
    <row r="51" spans="1:6" x14ac:dyDescent="0.35">
      <c r="A51" s="1" t="s">
        <v>47</v>
      </c>
      <c r="B51">
        <v>3.3928571428571432E-3</v>
      </c>
      <c r="C51">
        <v>2.1821428571428571E-2</v>
      </c>
      <c r="D51">
        <v>1.635969387755102E-2</v>
      </c>
      <c r="E51">
        <v>2.4117647058823539E-2</v>
      </c>
      <c r="F51">
        <v>9.2374999999999999E-2</v>
      </c>
    </row>
    <row r="52" spans="1:6" x14ac:dyDescent="0.35">
      <c r="A52" s="1" t="s">
        <v>48</v>
      </c>
      <c r="B52">
        <v>2.2916666666666691E-4</v>
      </c>
      <c r="C52">
        <v>1.42857142857143E-4</v>
      </c>
      <c r="D52">
        <v>7.1428571428571488E-5</v>
      </c>
      <c r="E52">
        <v>2.5956632653061232E-3</v>
      </c>
      <c r="F52">
        <v>2.285714285714285E-3</v>
      </c>
    </row>
    <row r="53" spans="1:6" x14ac:dyDescent="0.35">
      <c r="A53" s="1" t="s">
        <v>49</v>
      </c>
      <c r="B53">
        <v>1.3125000000000009E-3</v>
      </c>
      <c r="C53">
        <v>7.4107142857142887E-3</v>
      </c>
      <c r="D53">
        <v>1.6312500000000001E-2</v>
      </c>
      <c r="E53">
        <v>2.8095075239398099E-2</v>
      </c>
      <c r="F53">
        <v>3.5852465986394563E-2</v>
      </c>
    </row>
    <row r="54" spans="1:6" x14ac:dyDescent="0.35">
      <c r="A54" s="1" t="s">
        <v>50</v>
      </c>
      <c r="B54">
        <v>4.3112244897959209E-4</v>
      </c>
      <c r="C54">
        <v>1.5714285714285719E-3</v>
      </c>
      <c r="D54">
        <v>5.2328431372549052E-4</v>
      </c>
      <c r="E54">
        <v>1.082142857142857E-2</v>
      </c>
      <c r="F54">
        <v>7.7321428571428576E-3</v>
      </c>
    </row>
    <row r="55" spans="1:6" x14ac:dyDescent="0.35">
      <c r="A55" s="1" t="s">
        <v>51</v>
      </c>
      <c r="B55">
        <v>3.2248655276063937E-4</v>
      </c>
      <c r="C55">
        <v>6.075581395348842E-4</v>
      </c>
      <c r="D55">
        <v>1.06292517006803E-4</v>
      </c>
      <c r="E55">
        <v>8.4318452380952411E-2</v>
      </c>
      <c r="F55">
        <v>1.456395348837207E-3</v>
      </c>
    </row>
    <row r="56" spans="1:6" x14ac:dyDescent="0.35">
      <c r="A56" s="1" t="s">
        <v>52</v>
      </c>
      <c r="B56">
        <v>2.0714285714285709E-3</v>
      </c>
      <c r="C56">
        <v>7.5714285714285692E-3</v>
      </c>
      <c r="D56">
        <v>1.203018707482994E-2</v>
      </c>
      <c r="E56">
        <v>1.4524623803009571E-2</v>
      </c>
      <c r="F56">
        <v>2.0194938440492478E-2</v>
      </c>
    </row>
    <row r="57" spans="1:6" x14ac:dyDescent="0.35">
      <c r="A57" s="1" t="s">
        <v>53</v>
      </c>
      <c r="B57">
        <v>6.2755102040816231E-4</v>
      </c>
      <c r="C57">
        <v>2.5232142857142859E-2</v>
      </c>
      <c r="D57">
        <v>1.01577380952381E-2</v>
      </c>
      <c r="E57">
        <v>7.9172366621067053E-2</v>
      </c>
      <c r="F57">
        <v>4.2089774281805742E-2</v>
      </c>
    </row>
    <row r="58" spans="1:6" x14ac:dyDescent="0.35">
      <c r="A58" s="1" t="s">
        <v>54</v>
      </c>
      <c r="B58">
        <v>1.7553571428571429E-2</v>
      </c>
      <c r="C58">
        <v>3.873255813953487E-2</v>
      </c>
      <c r="D58">
        <v>6.0735294117647061E-2</v>
      </c>
      <c r="E58">
        <v>5.7388856705472897E-2</v>
      </c>
      <c r="F58">
        <v>6.5136798905608764E-2</v>
      </c>
    </row>
    <row r="59" spans="1:6" x14ac:dyDescent="0.35">
      <c r="A59" s="1" t="s">
        <v>55</v>
      </c>
      <c r="B59">
        <v>2.9736394557823141E-2</v>
      </c>
      <c r="C59">
        <v>4.3727941176470567E-2</v>
      </c>
      <c r="D59">
        <v>8.7647058823529411E-2</v>
      </c>
      <c r="E59">
        <v>9.7647058823529392E-2</v>
      </c>
      <c r="F59">
        <v>1.558333333333334E-2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336C-4A21-4152-B032-2EC2EA911083}">
  <dimension ref="A1:F71"/>
  <sheetViews>
    <sheetView tabSelected="1" workbookViewId="0">
      <selection activeCell="M21" sqref="M21"/>
    </sheetView>
  </sheetViews>
  <sheetFormatPr defaultRowHeight="14.5" x14ac:dyDescent="0.35"/>
  <sheetData>
    <row r="1" spans="1:6" x14ac:dyDescent="0.3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 x14ac:dyDescent="0.35">
      <c r="A2" t="s">
        <v>36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35">
      <c r="A3" t="s">
        <v>66</v>
      </c>
      <c r="B3" t="s">
        <v>67</v>
      </c>
      <c r="C3" t="s">
        <v>62</v>
      </c>
      <c r="D3" t="s">
        <v>63</v>
      </c>
      <c r="E3" t="s">
        <v>64</v>
      </c>
      <c r="F3" t="s">
        <v>65</v>
      </c>
    </row>
    <row r="4" spans="1:6" x14ac:dyDescent="0.35">
      <c r="A4" t="s">
        <v>39</v>
      </c>
      <c r="B4" t="s">
        <v>68</v>
      </c>
      <c r="C4" t="s">
        <v>62</v>
      </c>
      <c r="D4" t="s">
        <v>63</v>
      </c>
      <c r="E4" t="s">
        <v>64</v>
      </c>
      <c r="F4" t="s">
        <v>65</v>
      </c>
    </row>
    <row r="5" spans="1:6" x14ac:dyDescent="0.35">
      <c r="A5" t="s">
        <v>69</v>
      </c>
      <c r="B5" t="s">
        <v>70</v>
      </c>
      <c r="C5" t="s">
        <v>62</v>
      </c>
      <c r="D5" t="s">
        <v>63</v>
      </c>
      <c r="E5" t="s">
        <v>64</v>
      </c>
      <c r="F5" t="s">
        <v>65</v>
      </c>
    </row>
    <row r="6" spans="1:6" x14ac:dyDescent="0.35">
      <c r="A6" t="s">
        <v>26</v>
      </c>
      <c r="B6" t="s">
        <v>71</v>
      </c>
      <c r="C6" t="s">
        <v>62</v>
      </c>
      <c r="D6" t="s">
        <v>63</v>
      </c>
      <c r="E6" t="s">
        <v>64</v>
      </c>
      <c r="F6" t="s">
        <v>65</v>
      </c>
    </row>
    <row r="7" spans="1:6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</row>
    <row r="8" spans="1:6" x14ac:dyDescent="0.35">
      <c r="A8" t="s">
        <v>1</v>
      </c>
      <c r="B8" t="s">
        <v>78</v>
      </c>
      <c r="C8" t="s">
        <v>74</v>
      </c>
      <c r="D8" t="s">
        <v>75</v>
      </c>
      <c r="E8" t="s">
        <v>79</v>
      </c>
      <c r="F8" t="s">
        <v>80</v>
      </c>
    </row>
    <row r="9" spans="1:6" x14ac:dyDescent="0.35">
      <c r="A9" t="s">
        <v>21</v>
      </c>
      <c r="B9" t="s">
        <v>78</v>
      </c>
      <c r="C9" t="s">
        <v>74</v>
      </c>
      <c r="D9" t="s">
        <v>75</v>
      </c>
      <c r="E9" t="s">
        <v>79</v>
      </c>
      <c r="F9" t="s">
        <v>80</v>
      </c>
    </row>
    <row r="10" spans="1:6" x14ac:dyDescent="0.35">
      <c r="A10" t="s">
        <v>37</v>
      </c>
      <c r="B10" t="s">
        <v>81</v>
      </c>
      <c r="C10" t="s">
        <v>74</v>
      </c>
      <c r="D10" t="s">
        <v>75</v>
      </c>
      <c r="E10" t="s">
        <v>82</v>
      </c>
      <c r="F10" t="s">
        <v>83</v>
      </c>
    </row>
    <row r="11" spans="1:6" x14ac:dyDescent="0.35">
      <c r="A11" t="s">
        <v>46</v>
      </c>
      <c r="B11" t="s">
        <v>84</v>
      </c>
      <c r="C11" t="s">
        <v>74</v>
      </c>
      <c r="D11" t="s">
        <v>75</v>
      </c>
      <c r="E11" t="s">
        <v>82</v>
      </c>
      <c r="F11" t="s">
        <v>83</v>
      </c>
    </row>
    <row r="12" spans="1:6" x14ac:dyDescent="0.35">
      <c r="A12" t="s">
        <v>85</v>
      </c>
      <c r="B12" t="s">
        <v>86</v>
      </c>
      <c r="C12" t="s">
        <v>74</v>
      </c>
      <c r="D12" t="s">
        <v>75</v>
      </c>
      <c r="E12" t="s">
        <v>82</v>
      </c>
      <c r="F12" t="s">
        <v>83</v>
      </c>
    </row>
    <row r="13" spans="1:6" x14ac:dyDescent="0.35">
      <c r="A13" t="s">
        <v>20</v>
      </c>
      <c r="B13" t="s">
        <v>87</v>
      </c>
      <c r="C13" t="s">
        <v>74</v>
      </c>
      <c r="D13" t="s">
        <v>75</v>
      </c>
      <c r="E13" t="s">
        <v>82</v>
      </c>
      <c r="F13" t="s">
        <v>83</v>
      </c>
    </row>
    <row r="14" spans="1:6" x14ac:dyDescent="0.35">
      <c r="A14" t="s">
        <v>22</v>
      </c>
      <c r="B14" t="s">
        <v>88</v>
      </c>
      <c r="C14" t="s">
        <v>74</v>
      </c>
      <c r="D14" t="s">
        <v>75</v>
      </c>
      <c r="E14" t="s">
        <v>82</v>
      </c>
      <c r="F14" t="s">
        <v>83</v>
      </c>
    </row>
    <row r="15" spans="1:6" x14ac:dyDescent="0.35">
      <c r="A15" t="s">
        <v>44</v>
      </c>
      <c r="B15" t="s">
        <v>89</v>
      </c>
      <c r="C15" t="s">
        <v>74</v>
      </c>
      <c r="D15" t="s">
        <v>75</v>
      </c>
      <c r="E15" t="s">
        <v>90</v>
      </c>
      <c r="F15" t="s">
        <v>91</v>
      </c>
    </row>
    <row r="16" spans="1:6" x14ac:dyDescent="0.35">
      <c r="A16" t="s">
        <v>6</v>
      </c>
      <c r="B16" t="s">
        <v>92</v>
      </c>
      <c r="C16" t="s">
        <v>74</v>
      </c>
      <c r="D16" t="s">
        <v>75</v>
      </c>
      <c r="E16" t="s">
        <v>82</v>
      </c>
      <c r="F16" t="s">
        <v>83</v>
      </c>
    </row>
    <row r="17" spans="1:6" x14ac:dyDescent="0.35">
      <c r="A17" t="s">
        <v>49</v>
      </c>
      <c r="B17" t="s">
        <v>93</v>
      </c>
      <c r="C17" t="s">
        <v>74</v>
      </c>
      <c r="D17" t="s">
        <v>75</v>
      </c>
      <c r="E17" t="s">
        <v>82</v>
      </c>
      <c r="F17" t="s">
        <v>83</v>
      </c>
    </row>
    <row r="18" spans="1:6" x14ac:dyDescent="0.35">
      <c r="A18" t="s">
        <v>25</v>
      </c>
      <c r="B18" t="s">
        <v>94</v>
      </c>
      <c r="C18" t="s">
        <v>74</v>
      </c>
      <c r="D18" t="s">
        <v>75</v>
      </c>
      <c r="E18" t="s">
        <v>82</v>
      </c>
      <c r="F18" t="s">
        <v>83</v>
      </c>
    </row>
    <row r="19" spans="1:6" x14ac:dyDescent="0.35">
      <c r="A19" t="s">
        <v>18</v>
      </c>
      <c r="B19" t="s">
        <v>95</v>
      </c>
      <c r="C19" t="s">
        <v>74</v>
      </c>
      <c r="D19" t="s">
        <v>75</v>
      </c>
      <c r="E19" t="s">
        <v>82</v>
      </c>
      <c r="F19" t="s">
        <v>83</v>
      </c>
    </row>
    <row r="20" spans="1:6" x14ac:dyDescent="0.35">
      <c r="A20" t="s">
        <v>31</v>
      </c>
      <c r="B20" t="s">
        <v>96</v>
      </c>
      <c r="C20" t="s">
        <v>74</v>
      </c>
      <c r="D20" t="s">
        <v>75</v>
      </c>
      <c r="E20" t="s">
        <v>79</v>
      </c>
      <c r="F20" t="s">
        <v>80</v>
      </c>
    </row>
    <row r="21" spans="1:6" x14ac:dyDescent="0.35">
      <c r="A21" t="s">
        <v>24</v>
      </c>
      <c r="B21" t="s">
        <v>97</v>
      </c>
      <c r="C21" t="s">
        <v>74</v>
      </c>
      <c r="D21" t="s">
        <v>75</v>
      </c>
      <c r="E21" t="s">
        <v>82</v>
      </c>
      <c r="F21" t="s">
        <v>83</v>
      </c>
    </row>
    <row r="22" spans="1:6" x14ac:dyDescent="0.35">
      <c r="A22" t="s">
        <v>32</v>
      </c>
      <c r="B22" t="s">
        <v>98</v>
      </c>
      <c r="C22" t="s">
        <v>74</v>
      </c>
      <c r="D22" t="s">
        <v>75</v>
      </c>
      <c r="E22" t="s">
        <v>82</v>
      </c>
      <c r="F22" t="s">
        <v>83</v>
      </c>
    </row>
    <row r="23" spans="1:6" x14ac:dyDescent="0.35">
      <c r="A23" t="s">
        <v>40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</row>
    <row r="24" spans="1:6" x14ac:dyDescent="0.35">
      <c r="A24" t="s">
        <v>45</v>
      </c>
      <c r="B24" t="s">
        <v>104</v>
      </c>
      <c r="C24" t="s">
        <v>100</v>
      </c>
      <c r="D24" t="s">
        <v>101</v>
      </c>
      <c r="E24" t="s">
        <v>102</v>
      </c>
      <c r="F24" t="s">
        <v>103</v>
      </c>
    </row>
    <row r="25" spans="1:6" x14ac:dyDescent="0.35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</row>
    <row r="26" spans="1:6" x14ac:dyDescent="0.35">
      <c r="A26" t="s">
        <v>111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</row>
    <row r="27" spans="1:6" x14ac:dyDescent="0.35">
      <c r="A27" t="s">
        <v>47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</row>
    <row r="28" spans="1:6" x14ac:dyDescent="0.35">
      <c r="A28" t="s">
        <v>29</v>
      </c>
      <c r="B28" t="s">
        <v>117</v>
      </c>
      <c r="C28" t="s">
        <v>113</v>
      </c>
      <c r="D28" t="s">
        <v>114</v>
      </c>
      <c r="E28" t="s">
        <v>115</v>
      </c>
      <c r="F28" t="s">
        <v>116</v>
      </c>
    </row>
    <row r="29" spans="1:6" x14ac:dyDescent="0.35">
      <c r="A29" t="s">
        <v>7</v>
      </c>
      <c r="B29" t="s">
        <v>118</v>
      </c>
      <c r="C29" t="s">
        <v>113</v>
      </c>
      <c r="D29" t="s">
        <v>114</v>
      </c>
      <c r="E29" t="s">
        <v>115</v>
      </c>
      <c r="F29" t="s">
        <v>116</v>
      </c>
    </row>
    <row r="30" spans="1:6" x14ac:dyDescent="0.35">
      <c r="A30" t="s">
        <v>119</v>
      </c>
      <c r="B30" t="s">
        <v>120</v>
      </c>
      <c r="C30" t="s">
        <v>113</v>
      </c>
      <c r="D30" t="s">
        <v>114</v>
      </c>
      <c r="E30" t="s">
        <v>115</v>
      </c>
      <c r="F30" t="s">
        <v>116</v>
      </c>
    </row>
    <row r="31" spans="1:6" x14ac:dyDescent="0.35">
      <c r="A31" t="s">
        <v>42</v>
      </c>
      <c r="B31" t="s">
        <v>121</v>
      </c>
      <c r="C31" t="s">
        <v>113</v>
      </c>
      <c r="D31" t="s">
        <v>114</v>
      </c>
      <c r="E31" t="s">
        <v>115</v>
      </c>
      <c r="F31" t="s">
        <v>116</v>
      </c>
    </row>
    <row r="32" spans="1:6" x14ac:dyDescent="0.35">
      <c r="A32" t="s">
        <v>14</v>
      </c>
      <c r="B32" t="s">
        <v>122</v>
      </c>
      <c r="C32" t="s">
        <v>113</v>
      </c>
      <c r="D32" t="s">
        <v>114</v>
      </c>
      <c r="E32" t="s">
        <v>115</v>
      </c>
      <c r="F32" t="s">
        <v>116</v>
      </c>
    </row>
    <row r="33" spans="1:6" x14ac:dyDescent="0.35">
      <c r="A33" t="s">
        <v>43</v>
      </c>
      <c r="B33" t="s">
        <v>123</v>
      </c>
      <c r="C33" t="s">
        <v>113</v>
      </c>
      <c r="D33" t="s">
        <v>114</v>
      </c>
      <c r="E33" t="s">
        <v>115</v>
      </c>
      <c r="F33" t="s">
        <v>116</v>
      </c>
    </row>
    <row r="34" spans="1:6" x14ac:dyDescent="0.35">
      <c r="A34" t="s">
        <v>33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</row>
    <row r="35" spans="1:6" x14ac:dyDescent="0.35">
      <c r="A35" t="s">
        <v>38</v>
      </c>
      <c r="B35" t="s">
        <v>129</v>
      </c>
      <c r="C35" t="s">
        <v>125</v>
      </c>
      <c r="D35" t="s">
        <v>126</v>
      </c>
      <c r="E35" t="s">
        <v>127</v>
      </c>
      <c r="F35" t="s">
        <v>128</v>
      </c>
    </row>
    <row r="36" spans="1:6" x14ac:dyDescent="0.35">
      <c r="A36">
        <v>26499</v>
      </c>
      <c r="B36" t="s">
        <v>130</v>
      </c>
      <c r="C36" t="s">
        <v>125</v>
      </c>
      <c r="D36" t="s">
        <v>126</v>
      </c>
      <c r="E36" t="s">
        <v>131</v>
      </c>
      <c r="F36" t="s">
        <v>132</v>
      </c>
    </row>
    <row r="37" spans="1:6" x14ac:dyDescent="0.35">
      <c r="A37">
        <v>27126</v>
      </c>
      <c r="B37" t="s">
        <v>133</v>
      </c>
      <c r="C37" t="s">
        <v>125</v>
      </c>
      <c r="D37" t="s">
        <v>126</v>
      </c>
      <c r="E37" t="s">
        <v>131</v>
      </c>
      <c r="F37" t="s">
        <v>132</v>
      </c>
    </row>
    <row r="38" spans="1:6" x14ac:dyDescent="0.35">
      <c r="A38" t="s">
        <v>2</v>
      </c>
      <c r="B38" t="s">
        <v>133</v>
      </c>
      <c r="C38" t="s">
        <v>125</v>
      </c>
      <c r="D38" t="s">
        <v>126</v>
      </c>
      <c r="E38" t="s">
        <v>131</v>
      </c>
      <c r="F38" t="s">
        <v>132</v>
      </c>
    </row>
    <row r="39" spans="1:6" x14ac:dyDescent="0.35">
      <c r="A39" t="s">
        <v>4</v>
      </c>
      <c r="B39" t="s">
        <v>130</v>
      </c>
      <c r="C39" t="s">
        <v>125</v>
      </c>
      <c r="D39" t="s">
        <v>126</v>
      </c>
      <c r="E39" t="s">
        <v>131</v>
      </c>
      <c r="F39" t="s">
        <v>132</v>
      </c>
    </row>
    <row r="40" spans="1:6" x14ac:dyDescent="0.35">
      <c r="A40" t="s">
        <v>5</v>
      </c>
      <c r="B40" t="s">
        <v>130</v>
      </c>
      <c r="C40" t="s">
        <v>125</v>
      </c>
      <c r="D40" t="s">
        <v>126</v>
      </c>
      <c r="E40" t="s">
        <v>131</v>
      </c>
      <c r="F40" t="s">
        <v>132</v>
      </c>
    </row>
    <row r="41" spans="1:6" x14ac:dyDescent="0.35">
      <c r="A41" t="s">
        <v>8</v>
      </c>
      <c r="B41" t="s">
        <v>133</v>
      </c>
      <c r="C41" t="s">
        <v>125</v>
      </c>
      <c r="D41" t="s">
        <v>126</v>
      </c>
      <c r="E41" t="s">
        <v>131</v>
      </c>
      <c r="F41" t="s">
        <v>132</v>
      </c>
    </row>
    <row r="42" spans="1:6" x14ac:dyDescent="0.35">
      <c r="A42" t="s">
        <v>27</v>
      </c>
      <c r="B42" t="s">
        <v>134</v>
      </c>
      <c r="C42" t="s">
        <v>125</v>
      </c>
      <c r="D42" t="s">
        <v>126</v>
      </c>
      <c r="E42" t="s">
        <v>131</v>
      </c>
      <c r="F42" t="s">
        <v>132</v>
      </c>
    </row>
    <row r="43" spans="1:6" x14ac:dyDescent="0.35">
      <c r="A43" t="s">
        <v>28</v>
      </c>
      <c r="B43" t="s">
        <v>135</v>
      </c>
      <c r="C43" t="s">
        <v>125</v>
      </c>
      <c r="D43" t="s">
        <v>126</v>
      </c>
      <c r="E43" t="s">
        <v>136</v>
      </c>
      <c r="F43" t="s">
        <v>137</v>
      </c>
    </row>
    <row r="44" spans="1:6" x14ac:dyDescent="0.35">
      <c r="A44">
        <v>25922</v>
      </c>
      <c r="B44" t="s">
        <v>138</v>
      </c>
      <c r="C44" t="s">
        <v>125</v>
      </c>
      <c r="D44" t="s">
        <v>126</v>
      </c>
      <c r="E44" t="s">
        <v>139</v>
      </c>
      <c r="F44" t="s">
        <v>140</v>
      </c>
    </row>
    <row r="45" spans="1:6" x14ac:dyDescent="0.35">
      <c r="A45" t="s">
        <v>35</v>
      </c>
      <c r="B45" t="s">
        <v>141</v>
      </c>
      <c r="C45" t="s">
        <v>125</v>
      </c>
      <c r="D45" t="s">
        <v>126</v>
      </c>
      <c r="E45" t="s">
        <v>139</v>
      </c>
      <c r="F45" t="s">
        <v>140</v>
      </c>
    </row>
    <row r="46" spans="1:6" x14ac:dyDescent="0.35">
      <c r="A46" t="s">
        <v>17</v>
      </c>
      <c r="B46" t="s">
        <v>138</v>
      </c>
      <c r="C46" t="s">
        <v>125</v>
      </c>
      <c r="D46" t="s">
        <v>126</v>
      </c>
      <c r="E46" t="s">
        <v>139</v>
      </c>
      <c r="F46" t="s">
        <v>140</v>
      </c>
    </row>
    <row r="47" spans="1:6" x14ac:dyDescent="0.35">
      <c r="A47" t="s">
        <v>52</v>
      </c>
      <c r="B47" t="s">
        <v>142</v>
      </c>
      <c r="C47" t="s">
        <v>125</v>
      </c>
      <c r="D47" t="s">
        <v>126</v>
      </c>
      <c r="E47" t="s">
        <v>139</v>
      </c>
      <c r="F47" t="s">
        <v>140</v>
      </c>
    </row>
    <row r="48" spans="1:6" x14ac:dyDescent="0.35">
      <c r="A48" t="s">
        <v>41</v>
      </c>
      <c r="B48" t="s">
        <v>143</v>
      </c>
      <c r="C48" t="s">
        <v>125</v>
      </c>
      <c r="D48" t="s">
        <v>126</v>
      </c>
      <c r="E48" t="s">
        <v>144</v>
      </c>
      <c r="F48" t="s">
        <v>145</v>
      </c>
    </row>
    <row r="49" spans="1:6" x14ac:dyDescent="0.35">
      <c r="A49" t="s">
        <v>50</v>
      </c>
      <c r="B49" t="s">
        <v>146</v>
      </c>
      <c r="C49" t="s">
        <v>125</v>
      </c>
      <c r="D49" t="s">
        <v>126</v>
      </c>
      <c r="E49" t="s">
        <v>131</v>
      </c>
      <c r="F49" t="s">
        <v>132</v>
      </c>
    </row>
    <row r="50" spans="1:6" x14ac:dyDescent="0.35">
      <c r="A50" t="s">
        <v>13</v>
      </c>
      <c r="B50" t="s">
        <v>147</v>
      </c>
      <c r="C50" t="s">
        <v>125</v>
      </c>
      <c r="D50" t="s">
        <v>126</v>
      </c>
      <c r="E50" t="s">
        <v>131</v>
      </c>
      <c r="F50" t="s">
        <v>132</v>
      </c>
    </row>
    <row r="51" spans="1:6" x14ac:dyDescent="0.35">
      <c r="A51" t="s">
        <v>16</v>
      </c>
      <c r="B51" t="s">
        <v>148</v>
      </c>
      <c r="C51" t="s">
        <v>125</v>
      </c>
      <c r="D51" t="s">
        <v>126</v>
      </c>
      <c r="E51" t="s">
        <v>127</v>
      </c>
      <c r="F51" t="s">
        <v>128</v>
      </c>
    </row>
    <row r="52" spans="1:6" x14ac:dyDescent="0.35">
      <c r="A52" t="s">
        <v>149</v>
      </c>
      <c r="B52" t="s">
        <v>150</v>
      </c>
      <c r="C52" t="s">
        <v>125</v>
      </c>
      <c r="D52" t="s">
        <v>126</v>
      </c>
      <c r="E52" t="s">
        <v>131</v>
      </c>
      <c r="F52" t="s">
        <v>132</v>
      </c>
    </row>
    <row r="53" spans="1:6" x14ac:dyDescent="0.35">
      <c r="A53" t="s">
        <v>3</v>
      </c>
      <c r="B53" t="s">
        <v>151</v>
      </c>
      <c r="C53" t="s">
        <v>125</v>
      </c>
      <c r="D53" t="s">
        <v>126</v>
      </c>
      <c r="E53" t="s">
        <v>131</v>
      </c>
      <c r="F53" t="s">
        <v>132</v>
      </c>
    </row>
    <row r="54" spans="1:6" x14ac:dyDescent="0.35">
      <c r="A54" t="s">
        <v>51</v>
      </c>
      <c r="B54" t="s">
        <v>152</v>
      </c>
      <c r="C54" t="s">
        <v>125</v>
      </c>
      <c r="D54" t="s">
        <v>126</v>
      </c>
      <c r="E54" t="s">
        <v>127</v>
      </c>
      <c r="F54" t="s">
        <v>128</v>
      </c>
    </row>
    <row r="55" spans="1:6" x14ac:dyDescent="0.35">
      <c r="A55" t="s">
        <v>153</v>
      </c>
      <c r="B55" t="s">
        <v>153</v>
      </c>
      <c r="C55" t="s">
        <v>74</v>
      </c>
      <c r="D55" t="s">
        <v>75</v>
      </c>
      <c r="E55" t="s">
        <v>82</v>
      </c>
      <c r="F55" t="s">
        <v>83</v>
      </c>
    </row>
    <row r="56" spans="1:6" x14ac:dyDescent="0.35">
      <c r="A56" t="s">
        <v>11</v>
      </c>
      <c r="B56" t="s">
        <v>11</v>
      </c>
      <c r="C56" t="s">
        <v>74</v>
      </c>
      <c r="D56" t="s">
        <v>75</v>
      </c>
      <c r="E56" t="s">
        <v>82</v>
      </c>
      <c r="F56" t="s">
        <v>83</v>
      </c>
    </row>
    <row r="57" spans="1:6" x14ac:dyDescent="0.35">
      <c r="A57" t="s">
        <v>55</v>
      </c>
      <c r="B57" t="s">
        <v>154</v>
      </c>
      <c r="C57" t="s">
        <v>125</v>
      </c>
      <c r="D57" t="s">
        <v>126</v>
      </c>
      <c r="E57" t="s">
        <v>131</v>
      </c>
      <c r="F57" t="s">
        <v>132</v>
      </c>
    </row>
    <row r="58" spans="1:6" x14ac:dyDescent="0.35">
      <c r="A58" t="s">
        <v>155</v>
      </c>
      <c r="B58" t="s">
        <v>156</v>
      </c>
      <c r="C58" t="s">
        <v>125</v>
      </c>
      <c r="D58" t="s">
        <v>126</v>
      </c>
      <c r="E58" t="s">
        <v>157</v>
      </c>
      <c r="F58" t="s">
        <v>158</v>
      </c>
    </row>
    <row r="59" spans="1:6" x14ac:dyDescent="0.35">
      <c r="A59" t="s">
        <v>30</v>
      </c>
      <c r="B59" t="s">
        <v>159</v>
      </c>
      <c r="C59" t="s">
        <v>125</v>
      </c>
      <c r="D59" t="s">
        <v>126</v>
      </c>
      <c r="E59" t="s">
        <v>160</v>
      </c>
      <c r="F59" t="s">
        <v>161</v>
      </c>
    </row>
    <row r="60" spans="1:6" x14ac:dyDescent="0.35">
      <c r="A60" t="s">
        <v>53</v>
      </c>
      <c r="B60" t="s">
        <v>162</v>
      </c>
      <c r="C60" t="s">
        <v>125</v>
      </c>
      <c r="D60" t="s">
        <v>126</v>
      </c>
      <c r="E60" t="s">
        <v>160</v>
      </c>
      <c r="F60" t="s">
        <v>161</v>
      </c>
    </row>
    <row r="61" spans="1:6" x14ac:dyDescent="0.35">
      <c r="A61" t="s">
        <v>54</v>
      </c>
      <c r="B61" t="s">
        <v>163</v>
      </c>
      <c r="C61" t="s">
        <v>125</v>
      </c>
      <c r="D61" t="s">
        <v>126</v>
      </c>
      <c r="E61" t="s">
        <v>160</v>
      </c>
      <c r="F61" t="s">
        <v>161</v>
      </c>
    </row>
    <row r="62" spans="1:6" x14ac:dyDescent="0.35">
      <c r="A62" t="s">
        <v>34</v>
      </c>
      <c r="B62" t="s">
        <v>164</v>
      </c>
      <c r="C62" t="s">
        <v>125</v>
      </c>
      <c r="D62" t="s">
        <v>126</v>
      </c>
      <c r="E62" t="s">
        <v>131</v>
      </c>
      <c r="F62" t="s">
        <v>132</v>
      </c>
    </row>
    <row r="63" spans="1:6" x14ac:dyDescent="0.35">
      <c r="A63" t="s">
        <v>48</v>
      </c>
      <c r="B63" t="s">
        <v>165</v>
      </c>
      <c r="C63" t="s">
        <v>125</v>
      </c>
      <c r="D63" t="s">
        <v>126</v>
      </c>
      <c r="E63" t="s">
        <v>131</v>
      </c>
      <c r="F63" t="s">
        <v>132</v>
      </c>
    </row>
    <row r="64" spans="1:6" x14ac:dyDescent="0.35">
      <c r="A64" t="s">
        <v>19</v>
      </c>
      <c r="B64" t="s">
        <v>166</v>
      </c>
      <c r="C64" t="s">
        <v>125</v>
      </c>
      <c r="D64" t="s">
        <v>126</v>
      </c>
      <c r="E64" t="s">
        <v>131</v>
      </c>
      <c r="F64" t="s">
        <v>132</v>
      </c>
    </row>
    <row r="65" spans="1:6" x14ac:dyDescent="0.35">
      <c r="A65" t="s">
        <v>15</v>
      </c>
      <c r="B65" t="s">
        <v>15</v>
      </c>
      <c r="C65" t="s">
        <v>74</v>
      </c>
      <c r="D65" t="s">
        <v>75</v>
      </c>
      <c r="E65" t="s">
        <v>82</v>
      </c>
      <c r="F65" t="s">
        <v>83</v>
      </c>
    </row>
    <row r="66" spans="1:6" x14ac:dyDescent="0.35">
      <c r="A66" t="s">
        <v>167</v>
      </c>
      <c r="B66" t="s">
        <v>168</v>
      </c>
      <c r="C66" t="s">
        <v>125</v>
      </c>
      <c r="D66" t="s">
        <v>126</v>
      </c>
      <c r="E66" t="s">
        <v>131</v>
      </c>
      <c r="F66" t="s">
        <v>132</v>
      </c>
    </row>
    <row r="67" spans="1:6" x14ac:dyDescent="0.35">
      <c r="A67" t="s">
        <v>169</v>
      </c>
      <c r="B67" t="s">
        <v>170</v>
      </c>
      <c r="C67" t="s">
        <v>171</v>
      </c>
      <c r="D67" t="s">
        <v>172</v>
      </c>
      <c r="E67" t="s">
        <v>173</v>
      </c>
      <c r="F67" t="s">
        <v>174</v>
      </c>
    </row>
    <row r="68" spans="1:6" x14ac:dyDescent="0.35">
      <c r="A68" t="s">
        <v>9</v>
      </c>
      <c r="B68" t="s">
        <v>9</v>
      </c>
      <c r="C68" t="s">
        <v>74</v>
      </c>
      <c r="D68" t="s">
        <v>75</v>
      </c>
      <c r="E68" t="s">
        <v>82</v>
      </c>
      <c r="F68" t="s">
        <v>83</v>
      </c>
    </row>
    <row r="69" spans="1:6" x14ac:dyDescent="0.35">
      <c r="A69" t="s">
        <v>10</v>
      </c>
      <c r="B69" t="s">
        <v>10</v>
      </c>
      <c r="C69" t="s">
        <v>74</v>
      </c>
      <c r="D69" t="s">
        <v>75</v>
      </c>
      <c r="E69" t="s">
        <v>82</v>
      </c>
      <c r="F69" t="s">
        <v>83</v>
      </c>
    </row>
    <row r="70" spans="1:6" x14ac:dyDescent="0.35">
      <c r="A70" t="s">
        <v>12</v>
      </c>
      <c r="B70" t="s">
        <v>12</v>
      </c>
      <c r="C70" t="s">
        <v>74</v>
      </c>
      <c r="D70" t="s">
        <v>75</v>
      </c>
      <c r="E70" t="s">
        <v>82</v>
      </c>
      <c r="F70" t="s">
        <v>83</v>
      </c>
    </row>
    <row r="71" spans="1:6" x14ac:dyDescent="0.35">
      <c r="A71" t="s">
        <v>23</v>
      </c>
      <c r="B71" t="s">
        <v>175</v>
      </c>
      <c r="C71" t="s">
        <v>176</v>
      </c>
      <c r="D71" t="s">
        <v>177</v>
      </c>
      <c r="E71" t="s">
        <v>178</v>
      </c>
      <c r="F71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50BB-8B8F-4F52-A667-D9CB9BF3A967}">
  <dimension ref="A1:I63"/>
  <sheetViews>
    <sheetView workbookViewId="0">
      <selection activeCell="H53" sqref="H53"/>
    </sheetView>
  </sheetViews>
  <sheetFormatPr defaultRowHeight="14.5" x14ac:dyDescent="0.35"/>
  <cols>
    <col min="1" max="1" width="35.1796875" bestFit="1" customWidth="1"/>
    <col min="2" max="2" width="33.6328125" bestFit="1" customWidth="1"/>
    <col min="3" max="3" width="14.26953125" bestFit="1" customWidth="1"/>
    <col min="4" max="4" width="17.26953125" bestFit="1" customWidth="1"/>
    <col min="5" max="5" width="13.08984375" bestFit="1" customWidth="1"/>
    <col min="6" max="6" width="20.1796875" bestFit="1" customWidth="1"/>
    <col min="7" max="7" width="17.26953125" bestFit="1" customWidth="1"/>
    <col min="8" max="8" width="10.6328125" bestFit="1" customWidth="1"/>
  </cols>
  <sheetData>
    <row r="1" spans="1:9" ht="15.5" x14ac:dyDescent="0.35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57</v>
      </c>
      <c r="G1" s="2" t="s">
        <v>59</v>
      </c>
      <c r="H1" s="3" t="s">
        <v>0</v>
      </c>
      <c r="I1" s="3"/>
    </row>
    <row r="2" spans="1:9" x14ac:dyDescent="0.35">
      <c r="A2" t="s">
        <v>117</v>
      </c>
      <c r="B2" t="str">
        <f>VLOOKUP(A2,[1]Sheet1!D2:D71,1,FALSE)</f>
        <v>Croceibacter atlanticus</v>
      </c>
      <c r="D2" t="str">
        <f>VLOOKUP(B2,[1]Sheet1!D2:E71,2,FALSE)</f>
        <v>atlcs</v>
      </c>
      <c r="E2" t="str">
        <f>_xlfn.CONCAT(C2:D2)</f>
        <v>atlcs</v>
      </c>
      <c r="F2" t="str">
        <f>VLOOKUP(E2,[1]Sheet1!E1:I71,4,FALSE)</f>
        <v>Flavobacteriia</v>
      </c>
      <c r="G2" t="str">
        <f>VLOOKUP(E2,[1]Sheet1!E2:I71,5,FALSE)</f>
        <v>Flavobacteriales</v>
      </c>
      <c r="H2" s="4" t="s">
        <v>29</v>
      </c>
    </row>
    <row r="3" spans="1:9" x14ac:dyDescent="0.35">
      <c r="A3" t="s">
        <v>121</v>
      </c>
      <c r="B3" t="str">
        <f>VLOOKUP(A3,[1]Sheet1!D3:D72,1,FALSE)</f>
        <v>Gramella forsetii</v>
      </c>
      <c r="D3" t="str">
        <f>VLOOKUP(B3,[1]Sheet1!D3:E72,2,FALSE)</f>
        <v>fors</v>
      </c>
      <c r="E3" t="str">
        <f t="shared" ref="E3:E59" si="0">_xlfn.CONCAT(C3:D3)</f>
        <v>fors</v>
      </c>
      <c r="F3" t="str">
        <f>VLOOKUP(E3,[1]Sheet1!E2:I72,4,FALSE)</f>
        <v>Flavobacteriia</v>
      </c>
      <c r="G3" t="str">
        <f>VLOOKUP(E3,[1]Sheet1!E3:I72,5,FALSE)</f>
        <v>Flavobacteriales</v>
      </c>
      <c r="H3" t="s">
        <v>42</v>
      </c>
    </row>
    <row r="4" spans="1:9" x14ac:dyDescent="0.35">
      <c r="A4" t="s">
        <v>118</v>
      </c>
      <c r="B4" t="str">
        <f>VLOOKUP(A4,[1]Sheet1!D4:D73,1,FALSE)</f>
        <v>Formosa agariphila</v>
      </c>
      <c r="D4" t="str">
        <f>VLOOKUP(B4,[1]Sheet1!D4:E73,2,FALSE)</f>
        <v>Fagar</v>
      </c>
      <c r="E4" t="str">
        <f t="shared" si="0"/>
        <v>Fagar</v>
      </c>
      <c r="F4" t="str">
        <f>VLOOKUP(E4,[1]Sheet1!E3:I73,4,FALSE)</f>
        <v>Flavobacteriia</v>
      </c>
      <c r="G4" t="str">
        <f>VLOOKUP(E4,[1]Sheet1!E4:I73,5,FALSE)</f>
        <v>Flavobacteriales</v>
      </c>
      <c r="H4" t="s">
        <v>7</v>
      </c>
    </row>
    <row r="5" spans="1:9" x14ac:dyDescent="0.35">
      <c r="A5" t="s">
        <v>123</v>
      </c>
      <c r="B5" t="str">
        <f>VLOOKUP(A5,[1]Sheet1!D6:D75,1,FALSE)</f>
        <v>Kordia algicida</v>
      </c>
      <c r="D5" t="str">
        <f>VLOOKUP(B5,[1]Sheet1!D6:E75,2,FALSE)</f>
        <v>kordia</v>
      </c>
      <c r="E5" t="str">
        <f t="shared" si="0"/>
        <v>kordia</v>
      </c>
      <c r="F5" t="str">
        <f>VLOOKUP(E5,[1]Sheet1!E5:I75,4,FALSE)</f>
        <v>Flavobacteriia</v>
      </c>
      <c r="G5" t="str">
        <f>VLOOKUP(E5,[1]Sheet1!E6:I75,5,FALSE)</f>
        <v>Flavobacteriales</v>
      </c>
      <c r="H5" t="s">
        <v>43</v>
      </c>
    </row>
    <row r="6" spans="1:9" x14ac:dyDescent="0.35">
      <c r="A6" t="s">
        <v>122</v>
      </c>
      <c r="B6" t="str">
        <f>VLOOKUP(A6,[1]Sheet1!D7:D76,1,FALSE)</f>
        <v>Arenibacter algicola</v>
      </c>
      <c r="D6" t="str">
        <f>VLOOKUP(B6,[1]Sheet1!D7:E76,2,FALSE)</f>
        <v>Luca4/Aalgi</v>
      </c>
      <c r="E6" t="str">
        <f t="shared" si="0"/>
        <v>Luca4/Aalgi</v>
      </c>
      <c r="F6" t="str">
        <f>VLOOKUP(E6,[1]Sheet1!E6:I76,4,FALSE)</f>
        <v>Flavobacteriia</v>
      </c>
      <c r="G6" t="str">
        <f>VLOOKUP(E6,[1]Sheet1!E7:I76,5,FALSE)</f>
        <v>Flavobacteriales</v>
      </c>
      <c r="H6" t="s">
        <v>14</v>
      </c>
    </row>
    <row r="7" spans="1:9" x14ac:dyDescent="0.35">
      <c r="A7" t="s">
        <v>112</v>
      </c>
      <c r="B7" t="str">
        <f>VLOOKUP(A7,[1]Sheet1!D8:D77,1,FALSE)</f>
        <v>Owenweeksia hongkongensis</v>
      </c>
      <c r="D7" t="str">
        <f>VLOOKUP(B7,[1]Sheet1!D8:E77,2,FALSE)</f>
        <v>owen</v>
      </c>
      <c r="E7" t="str">
        <f t="shared" si="0"/>
        <v>owen</v>
      </c>
      <c r="F7" t="str">
        <f>VLOOKUP(E7,[1]Sheet1!E7:I77,4,FALSE)</f>
        <v>Flavobacteriia</v>
      </c>
      <c r="G7" t="str">
        <f>VLOOKUP(E7,[1]Sheet1!E8:I77,5,FALSE)</f>
        <v>Flavobacteriales</v>
      </c>
      <c r="H7" t="s">
        <v>47</v>
      </c>
    </row>
    <row r="8" spans="1:9" x14ac:dyDescent="0.35">
      <c r="A8" t="s">
        <v>106</v>
      </c>
      <c r="B8" t="str">
        <f>VLOOKUP(A8,[1]Sheet1!D9:D78,1,FALSE)</f>
        <v>Algoriphagus machipongonensis</v>
      </c>
      <c r="D8" t="str">
        <f>VLOOKUP(B8,[1]Sheet1!D9:E78,2,FALSE)</f>
        <v>PR1red</v>
      </c>
      <c r="E8" t="str">
        <f t="shared" si="0"/>
        <v>PR1red</v>
      </c>
      <c r="F8" t="str">
        <f>VLOOKUP(E8,[1]Sheet1!E8:I78,4,FALSE)</f>
        <v>Cytophagia</v>
      </c>
      <c r="G8" t="str">
        <f>VLOOKUP(E8,[1]Sheet1!E9:I78,5,FALSE)</f>
        <v>Cytophagales</v>
      </c>
      <c r="H8" t="s">
        <v>105</v>
      </c>
    </row>
    <row r="9" spans="1:9" x14ac:dyDescent="0.35">
      <c r="A9" t="s">
        <v>175</v>
      </c>
      <c r="B9" t="str">
        <f>VLOOKUP(A9,[1]Sheet1!D10:D79,1,FALSE)</f>
        <v>Rhodopirellula baltica</v>
      </c>
      <c r="D9" t="str">
        <f>VLOOKUP(B9,[1]Sheet1!D10:E79,2,FALSE)</f>
        <v>Rbalt</v>
      </c>
      <c r="E9" t="str">
        <f t="shared" si="0"/>
        <v>Rbalt</v>
      </c>
      <c r="F9" t="str">
        <f>VLOOKUP(E9,[1]Sheet1!E9:I79,4,FALSE)</f>
        <v>Planctomycea</v>
      </c>
      <c r="G9" t="str">
        <f>VLOOKUP(E9,[1]Sheet1!E10:I79,5,FALSE)</f>
        <v>Planctomycetales</v>
      </c>
      <c r="H9" t="s">
        <v>23</v>
      </c>
    </row>
    <row r="10" spans="1:9" x14ac:dyDescent="0.35">
      <c r="A10" t="s">
        <v>78</v>
      </c>
      <c r="B10" s="5" t="s">
        <v>78</v>
      </c>
      <c r="C10" s="5" t="s">
        <v>1</v>
      </c>
      <c r="E10" t="str">
        <f t="shared" si="0"/>
        <v>B2china</v>
      </c>
      <c r="F10" t="s">
        <v>74</v>
      </c>
      <c r="G10" t="s">
        <v>79</v>
      </c>
      <c r="H10" t="s">
        <v>1</v>
      </c>
    </row>
    <row r="11" spans="1:9" x14ac:dyDescent="0.35">
      <c r="A11" t="s">
        <v>78</v>
      </c>
      <c r="B11" s="5" t="s">
        <v>78</v>
      </c>
      <c r="C11" s="5" t="s">
        <v>21</v>
      </c>
      <c r="E11" t="str">
        <f t="shared" si="0"/>
        <v>Phalo</v>
      </c>
      <c r="F11" t="s">
        <v>74</v>
      </c>
      <c r="G11" t="s">
        <v>79</v>
      </c>
      <c r="H11" t="s">
        <v>21</v>
      </c>
    </row>
    <row r="12" spans="1:9" x14ac:dyDescent="0.35">
      <c r="A12" t="s">
        <v>94</v>
      </c>
      <c r="B12" t="str">
        <f>VLOOKUP(A12,[1]Sheet1!D13:D82,1,FALSE)</f>
        <v>Rhodobacter sphaeroides</v>
      </c>
      <c r="D12" t="str">
        <f>VLOOKUP(B12,[1]Sheet1!D13:E82,2,FALSE)</f>
        <v>Rsphaer</v>
      </c>
      <c r="E12" t="str">
        <f t="shared" si="0"/>
        <v>Rsphaer</v>
      </c>
      <c r="F12" t="str">
        <f>VLOOKUP(E12,[1]Sheet1!E12:I82,4,FALSE)</f>
        <v>Alphaproteobacteria</v>
      </c>
      <c r="G12" t="str">
        <f>VLOOKUP(E12,[1]Sheet1!E13:I82,5,FALSE)</f>
        <v>Rhodobacterales</v>
      </c>
      <c r="H12" t="s">
        <v>25</v>
      </c>
    </row>
    <row r="13" spans="1:9" x14ac:dyDescent="0.35">
      <c r="A13" t="s">
        <v>97</v>
      </c>
      <c r="B13" t="str">
        <f>VLOOKUP(A13,[1]Sheet1!D14:D83,1,FALSE)</f>
        <v>Roseibacterium elongatum</v>
      </c>
      <c r="D13" t="str">
        <f>VLOOKUP(B13,[1]Sheet1!D14:E83,2,FALSE)</f>
        <v>Relong</v>
      </c>
      <c r="E13" t="str">
        <f t="shared" si="0"/>
        <v>Relong</v>
      </c>
      <c r="F13" t="str">
        <f>VLOOKUP(E13,[1]Sheet1!E13:I83,4,FALSE)</f>
        <v>Alphaproteobacteria</v>
      </c>
      <c r="G13" t="str">
        <f>VLOOKUP(E13,[1]Sheet1!E14:I83,5,FALSE)</f>
        <v>Rhodobacterales</v>
      </c>
      <c r="H13" t="s">
        <v>24</v>
      </c>
    </row>
    <row r="14" spans="1:9" x14ac:dyDescent="0.35">
      <c r="A14" t="s">
        <v>185</v>
      </c>
      <c r="B14" s="5" t="s">
        <v>86</v>
      </c>
      <c r="C14" s="5" t="s">
        <v>85</v>
      </c>
      <c r="E14" t="str">
        <f t="shared" si="0"/>
        <v>plank</v>
      </c>
      <c r="F14" t="s">
        <v>74</v>
      </c>
      <c r="G14" t="s">
        <v>82</v>
      </c>
      <c r="H14" t="s">
        <v>85</v>
      </c>
    </row>
    <row r="15" spans="1:9" x14ac:dyDescent="0.35">
      <c r="A15" t="s">
        <v>186</v>
      </c>
      <c r="B15" s="5" t="s">
        <v>153</v>
      </c>
      <c r="C15" s="5" t="s">
        <v>153</v>
      </c>
      <c r="E15" t="str">
        <f t="shared" si="0"/>
        <v>HOT5_B8</v>
      </c>
      <c r="F15" t="str">
        <f>VLOOKUP(E15,[1]Sheet1!E15:I85,4,FALSE)</f>
        <v>Alphaproteobacteria</v>
      </c>
      <c r="G15" t="str">
        <f>VLOOKUP(E15,[1]Sheet1!E16:I85,5,FALSE)</f>
        <v>Rhodobacterales</v>
      </c>
      <c r="H15" t="s">
        <v>153</v>
      </c>
    </row>
    <row r="16" spans="1:9" x14ac:dyDescent="0.35">
      <c r="A16" t="s">
        <v>187</v>
      </c>
      <c r="B16" s="5" t="s">
        <v>10</v>
      </c>
      <c r="C16" s="5" t="s">
        <v>10</v>
      </c>
      <c r="E16" t="str">
        <f t="shared" si="0"/>
        <v>HOT5_C3</v>
      </c>
      <c r="F16" t="str">
        <f>VLOOKUP(E16,[1]Sheet1!E16:I86,4,FALSE)</f>
        <v>Alphaproteobacteria</v>
      </c>
      <c r="G16" t="str">
        <f>VLOOKUP(E16,[1]Sheet1!E17:I86,5,FALSE)</f>
        <v>Rhodobacterales</v>
      </c>
      <c r="H16" t="s">
        <v>10</v>
      </c>
    </row>
    <row r="17" spans="1:8" x14ac:dyDescent="0.35">
      <c r="A17" t="s">
        <v>93</v>
      </c>
      <c r="B17" s="5" t="s">
        <v>93</v>
      </c>
      <c r="C17" s="5" t="s">
        <v>49</v>
      </c>
      <c r="E17" t="str">
        <f t="shared" si="0"/>
        <v>roseo</v>
      </c>
      <c r="F17" t="str">
        <f>VLOOKUP(E17,[1]Sheet1!E17:I87,4,FALSE)</f>
        <v>Alphaproteobacteria</v>
      </c>
      <c r="G17" t="s">
        <v>82</v>
      </c>
      <c r="H17" t="s">
        <v>49</v>
      </c>
    </row>
    <row r="18" spans="1:8" x14ac:dyDescent="0.35">
      <c r="A18" t="s">
        <v>98</v>
      </c>
      <c r="B18" t="str">
        <f>VLOOKUP(A18,[1]Sheet1!D19:D88,1,FALSE)</f>
        <v>Pelagibaca bermudensis</v>
      </c>
      <c r="D18" t="str">
        <f>VLOOKUP(B18,[1]Sheet1!D19:E88,2,FALSE)</f>
        <v>bermu</v>
      </c>
      <c r="E18" t="str">
        <f t="shared" si="0"/>
        <v>bermu</v>
      </c>
      <c r="F18" t="str">
        <f>VLOOKUP(E18,[1]Sheet1!E18:I88,4,FALSE)</f>
        <v>Alphaproteobacteria</v>
      </c>
      <c r="G18" t="str">
        <f>VLOOKUP(E18,[1]Sheet1!E19:I88,5,FALSE)</f>
        <v>Rhodobacterales</v>
      </c>
      <c r="H18" t="s">
        <v>32</v>
      </c>
    </row>
    <row r="19" spans="1:8" x14ac:dyDescent="0.35">
      <c r="A19" t="s">
        <v>188</v>
      </c>
      <c r="B19" s="5" t="s">
        <v>12</v>
      </c>
      <c r="C19" s="5" t="s">
        <v>12</v>
      </c>
      <c r="E19" t="str">
        <f t="shared" si="0"/>
        <v>HOT5_F3</v>
      </c>
      <c r="F19" t="str">
        <f>VLOOKUP(E19,[1]Sheet1!E19:I89,4,FALSE)</f>
        <v>Alphaproteobacteria</v>
      </c>
      <c r="G19" t="str">
        <f>VLOOKUP(E19,[1]Sheet1!E20:I89,5,FALSE)</f>
        <v>Rhodobacterales</v>
      </c>
      <c r="H19" t="s">
        <v>12</v>
      </c>
    </row>
    <row r="20" spans="1:8" x14ac:dyDescent="0.35">
      <c r="A20" t="s">
        <v>189</v>
      </c>
      <c r="B20" s="5" t="s">
        <v>11</v>
      </c>
      <c r="C20" s="5" t="s">
        <v>11</v>
      </c>
      <c r="E20" t="str">
        <f t="shared" si="0"/>
        <v>HOT5_E6</v>
      </c>
      <c r="F20" t="str">
        <f>VLOOKUP(E20,[1]Sheet1!E20:I90,4,FALSE)</f>
        <v>Alphaproteobacteria</v>
      </c>
      <c r="G20" t="str">
        <f>VLOOKUP(E20,[1]Sheet1!E21:I90,5,FALSE)</f>
        <v>Rhodobacterales</v>
      </c>
      <c r="H20" t="s">
        <v>11</v>
      </c>
    </row>
    <row r="21" spans="1:8" x14ac:dyDescent="0.35">
      <c r="A21" t="s">
        <v>190</v>
      </c>
      <c r="B21" s="5" t="s">
        <v>9</v>
      </c>
      <c r="C21" s="5" t="s">
        <v>9</v>
      </c>
      <c r="E21" t="str">
        <f t="shared" si="0"/>
        <v>HOT5_B10</v>
      </c>
      <c r="F21" t="str">
        <f>VLOOKUP(E21,[1]Sheet1!E21:I91,4,FALSE)</f>
        <v>Alphaproteobacteria</v>
      </c>
      <c r="G21" t="str">
        <f>VLOOKUP(E21,[1]Sheet1!E22:I91,5,FALSE)</f>
        <v>Rhodobacterales</v>
      </c>
      <c r="H21" t="s">
        <v>9</v>
      </c>
    </row>
    <row r="22" spans="1:8" x14ac:dyDescent="0.35">
      <c r="A22" t="s">
        <v>15</v>
      </c>
      <c r="B22" t="str">
        <f>VLOOKUP(A22,[1]Sheet1!D24:D93,1,FALSE)</f>
        <v>Luca8</v>
      </c>
      <c r="D22" t="str">
        <f>VLOOKUP(B22,[1]Sheet1!D24:E93,2,FALSE)</f>
        <v>Luca8</v>
      </c>
      <c r="E22" t="str">
        <f t="shared" si="0"/>
        <v>Luca8</v>
      </c>
      <c r="F22" t="str">
        <f>VLOOKUP(E22,[1]Sheet1!E23:I93,4,FALSE)</f>
        <v>Alphaproteobacteria</v>
      </c>
      <c r="G22" t="str">
        <f>VLOOKUP(E22,[1]Sheet1!E24:I93,5,FALSE)</f>
        <v>Rhodobacterales</v>
      </c>
      <c r="H22" t="s">
        <v>15</v>
      </c>
    </row>
    <row r="23" spans="1:8" x14ac:dyDescent="0.35">
      <c r="A23" t="s">
        <v>15</v>
      </c>
      <c r="B23" t="s">
        <v>84</v>
      </c>
      <c r="C23" t="s">
        <v>46</v>
      </c>
      <c r="E23" t="str">
        <f t="shared" si="0"/>
        <v>nitzsch</v>
      </c>
      <c r="F23" t="s">
        <v>74</v>
      </c>
      <c r="G23" t="s">
        <v>82</v>
      </c>
      <c r="H23" t="s">
        <v>46</v>
      </c>
    </row>
    <row r="24" spans="1:8" x14ac:dyDescent="0.35">
      <c r="A24" t="s">
        <v>87</v>
      </c>
      <c r="B24" s="5" t="s">
        <v>87</v>
      </c>
      <c r="C24" s="5" t="s">
        <v>20</v>
      </c>
      <c r="E24" t="str">
        <f t="shared" si="0"/>
        <v>Pgall</v>
      </c>
      <c r="F24" t="s">
        <v>74</v>
      </c>
      <c r="G24" t="s">
        <v>82</v>
      </c>
      <c r="H24" t="s">
        <v>20</v>
      </c>
    </row>
    <row r="25" spans="1:8" x14ac:dyDescent="0.35">
      <c r="A25" t="s">
        <v>88</v>
      </c>
      <c r="B25" s="5" t="s">
        <v>88</v>
      </c>
      <c r="C25" s="5" t="s">
        <v>22</v>
      </c>
      <c r="E25" t="str">
        <f t="shared" si="0"/>
        <v>Pinhib</v>
      </c>
      <c r="F25" t="s">
        <v>74</v>
      </c>
      <c r="G25" t="s">
        <v>82</v>
      </c>
      <c r="H25" t="s">
        <v>22</v>
      </c>
    </row>
    <row r="26" spans="1:8" x14ac:dyDescent="0.35">
      <c r="A26" t="s">
        <v>92</v>
      </c>
      <c r="B26" s="5" t="s">
        <v>88</v>
      </c>
      <c r="C26" s="5" t="s">
        <v>6</v>
      </c>
      <c r="E26" t="str">
        <f t="shared" si="0"/>
        <v>DSS-3</v>
      </c>
      <c r="F26" t="s">
        <v>74</v>
      </c>
      <c r="G26" t="s">
        <v>82</v>
      </c>
      <c r="H26" t="s">
        <v>6</v>
      </c>
    </row>
    <row r="27" spans="1:8" x14ac:dyDescent="0.35">
      <c r="A27" t="s">
        <v>81</v>
      </c>
      <c r="B27" s="5" t="s">
        <v>81</v>
      </c>
      <c r="C27" s="5" t="s">
        <v>37</v>
      </c>
      <c r="E27" t="str">
        <f t="shared" si="0"/>
        <v>dfl-12</v>
      </c>
      <c r="F27" t="s">
        <v>74</v>
      </c>
      <c r="G27" t="s">
        <v>82</v>
      </c>
      <c r="H27" t="s">
        <v>37</v>
      </c>
    </row>
    <row r="28" spans="1:8" x14ac:dyDescent="0.35">
      <c r="A28" t="s">
        <v>89</v>
      </c>
      <c r="B28" s="5" t="s">
        <v>89</v>
      </c>
      <c r="C28" s="5" t="s">
        <v>44</v>
      </c>
      <c r="E28" t="str">
        <f t="shared" si="0"/>
        <v>koree</v>
      </c>
      <c r="F28" t="s">
        <v>74</v>
      </c>
      <c r="G28" t="s">
        <v>90</v>
      </c>
      <c r="H28" t="s">
        <v>44</v>
      </c>
    </row>
    <row r="29" spans="1:8" x14ac:dyDescent="0.35">
      <c r="A29" t="s">
        <v>96</v>
      </c>
      <c r="B29" s="5" t="s">
        <v>96</v>
      </c>
      <c r="C29" s="5" t="s">
        <v>31</v>
      </c>
      <c r="E29" t="str">
        <f t="shared" si="0"/>
        <v>bdim</v>
      </c>
      <c r="F29" t="s">
        <v>74</v>
      </c>
      <c r="G29" t="s">
        <v>79</v>
      </c>
      <c r="H29" t="s">
        <v>31</v>
      </c>
    </row>
    <row r="30" spans="1:8" x14ac:dyDescent="0.35">
      <c r="A30" t="s">
        <v>73</v>
      </c>
      <c r="B30" s="5" t="s">
        <v>73</v>
      </c>
      <c r="C30" s="5" t="s">
        <v>72</v>
      </c>
      <c r="E30" t="str">
        <f t="shared" si="0"/>
        <v>Sflavi</v>
      </c>
      <c r="F30" t="s">
        <v>74</v>
      </c>
      <c r="G30" t="s">
        <v>76</v>
      </c>
      <c r="H30" t="s">
        <v>72</v>
      </c>
    </row>
    <row r="31" spans="1:8" x14ac:dyDescent="0.35">
      <c r="A31" t="s">
        <v>143</v>
      </c>
      <c r="B31" t="str">
        <f>VLOOKUP(A31,[1]Sheet1!D33:D102,1,FALSE)</f>
        <v>Fangia hongkongensis</v>
      </c>
      <c r="D31" t="str">
        <f>VLOOKUP(B31,[1]Sheet1!D33:E102,2,FALSE)</f>
        <v>fang</v>
      </c>
      <c r="E31" t="str">
        <f t="shared" si="0"/>
        <v>fang</v>
      </c>
      <c r="F31" t="str">
        <f>VLOOKUP(E31,[1]Sheet1!E32:I102,4,FALSE)</f>
        <v>Gammaproteobacteria</v>
      </c>
      <c r="G31" t="str">
        <f>VLOOKUP(E31,[1]Sheet1!E33:I102,5,FALSE)</f>
        <v>Thiotrichales</v>
      </c>
      <c r="H31" t="s">
        <v>41</v>
      </c>
    </row>
    <row r="32" spans="1:8" x14ac:dyDescent="0.35">
      <c r="A32" t="s">
        <v>152</v>
      </c>
      <c r="B32" t="str">
        <f>VLOOKUP(A32,[1]Sheet1!D34:D103,1,FALSE)</f>
        <v>Sedimenticola thiotaurini</v>
      </c>
      <c r="D32" t="str">
        <f>VLOOKUP(B32,[1]Sheet1!D34:E103,2,FALSE)</f>
        <v>sedthio</v>
      </c>
      <c r="E32" t="str">
        <f t="shared" si="0"/>
        <v>sedthio</v>
      </c>
      <c r="F32" t="str">
        <f>VLOOKUP(E32,[1]Sheet1!E33:I103,4,FALSE)</f>
        <v>Gammaproteobacteria</v>
      </c>
      <c r="G32" t="str">
        <f>VLOOKUP(E32,[1]Sheet1!E34:I103,5,FALSE)</f>
        <v>Oceanospirillales</v>
      </c>
      <c r="H32" t="s">
        <v>51</v>
      </c>
    </row>
    <row r="33" spans="1:8" x14ac:dyDescent="0.35">
      <c r="A33" t="s">
        <v>129</v>
      </c>
      <c r="B33" t="str">
        <f>VLOOKUP(A33,[1]Sheet1!D35:D104,1,FALSE)</f>
        <v>Alcanivorax dieselolei</v>
      </c>
      <c r="D33" t="str">
        <f>VLOOKUP(B33,[1]Sheet1!D35:E104,2,FALSE)</f>
        <v>dies</v>
      </c>
      <c r="E33" t="str">
        <f t="shared" si="0"/>
        <v>dies</v>
      </c>
      <c r="F33" t="str">
        <f>VLOOKUP(E33,[1]Sheet1!E34:I104,4,FALSE)</f>
        <v>Gammaproteobacteria</v>
      </c>
      <c r="G33" t="str">
        <f>VLOOKUP(E33,[1]Sheet1!E35:I104,5,FALSE)</f>
        <v>Oceanospirillales</v>
      </c>
      <c r="H33" t="s">
        <v>38</v>
      </c>
    </row>
    <row r="34" spans="1:8" x14ac:dyDescent="0.35">
      <c r="A34" t="s">
        <v>124</v>
      </c>
      <c r="B34" s="5" t="s">
        <v>124</v>
      </c>
      <c r="C34" s="5" t="s">
        <v>33</v>
      </c>
      <c r="E34" t="str">
        <f t="shared" si="0"/>
        <v>bork</v>
      </c>
      <c r="F34" t="s">
        <v>125</v>
      </c>
      <c r="G34" t="s">
        <v>127</v>
      </c>
      <c r="H34" t="s">
        <v>33</v>
      </c>
    </row>
    <row r="35" spans="1:8" x14ac:dyDescent="0.35">
      <c r="A35" t="s">
        <v>148</v>
      </c>
      <c r="B35" t="str">
        <f>VLOOKUP(A35,[1]Sheet1!D37:D106,1,FALSE)</f>
        <v>Marinomonas mediterranea</v>
      </c>
      <c r="D35" t="str">
        <f>VLOOKUP(B35,[1]Sheet1!D37:E106,2,FALSE)</f>
        <v>MMB1</v>
      </c>
      <c r="E35" t="str">
        <f t="shared" si="0"/>
        <v>MMB1</v>
      </c>
      <c r="F35" t="str">
        <f>VLOOKUP(E35,[1]Sheet1!E36:I106,4,FALSE)</f>
        <v>Gammaproteobacteria</v>
      </c>
      <c r="G35" t="str">
        <f>VLOOKUP(E35,[1]Sheet1!E37:I106,5,FALSE)</f>
        <v>Oceanospirillales</v>
      </c>
      <c r="H35" t="s">
        <v>16</v>
      </c>
    </row>
    <row r="36" spans="1:8" x14ac:dyDescent="0.35">
      <c r="A36" t="s">
        <v>147</v>
      </c>
      <c r="B36" t="str">
        <f>VLOOKUP(A36,[1]Sheet1!D38:D107,1,FALSE)</f>
        <v>Marinobacter adhaerens</v>
      </c>
      <c r="D36" t="str">
        <f>VLOOKUP(B36,[1]Sheet1!D38:E107,2,FALSE)</f>
        <v>HP15</v>
      </c>
      <c r="E36" t="str">
        <f t="shared" si="0"/>
        <v>HP15</v>
      </c>
      <c r="F36" t="str">
        <f>VLOOKUP(E36,[1]Sheet1!E37:I107,4,FALSE)</f>
        <v>Gammaproteobacteria</v>
      </c>
      <c r="G36" t="str">
        <f>VLOOKUP(E36,[1]Sheet1!E38:I107,5,FALSE)</f>
        <v>Alteromonadales</v>
      </c>
      <c r="H36" t="s">
        <v>13</v>
      </c>
    </row>
    <row r="37" spans="1:8" x14ac:dyDescent="0.35">
      <c r="A37" t="s">
        <v>146</v>
      </c>
      <c r="B37" t="str">
        <f>VLOOKUP(A37,[1]Sheet1!D39:D108,1,FALSE)</f>
        <v>Haliea salexigens</v>
      </c>
      <c r="D37" t="str">
        <f>VLOOKUP(B37,[1]Sheet1!D39:E108,2,FALSE)</f>
        <v>salex</v>
      </c>
      <c r="E37" t="str">
        <f t="shared" si="0"/>
        <v>salex</v>
      </c>
      <c r="F37" t="str">
        <f>VLOOKUP(E37,[1]Sheet1!E38:I108,4,FALSE)</f>
        <v>Gammaproteobacteria</v>
      </c>
      <c r="G37" t="str">
        <f>VLOOKUP(E37,[1]Sheet1!E39:I108,5,FALSE)</f>
        <v>Alteromonadales</v>
      </c>
      <c r="H37" t="s">
        <v>50</v>
      </c>
    </row>
    <row r="38" spans="1:8" x14ac:dyDescent="0.35">
      <c r="A38" t="s">
        <v>156</v>
      </c>
      <c r="B38" t="str">
        <f>VLOOKUP(A38,[1]Sheet1!D40:D109,1,FALSE)</f>
        <v>Simiduia agarivorans</v>
      </c>
      <c r="D38" t="str">
        <f>VLOOKUP(B38,[1]Sheet1!D40:E109,2,FALSE)</f>
        <v>simid</v>
      </c>
      <c r="E38" t="str">
        <f t="shared" si="0"/>
        <v>simid</v>
      </c>
      <c r="F38" t="str">
        <f>VLOOKUP(E38,[1]Sheet1!E39:I109,4,FALSE)</f>
        <v>Gammaproteobacteria</v>
      </c>
      <c r="G38" t="str">
        <f>VLOOKUP(E38,[1]Sheet1!E40:I109,5,FALSE)</f>
        <v>Cellvibrionaceae</v>
      </c>
      <c r="H38" t="s">
        <v>155</v>
      </c>
    </row>
    <row r="39" spans="1:8" x14ac:dyDescent="0.35">
      <c r="A39" t="s">
        <v>135</v>
      </c>
      <c r="B39" t="str">
        <f>VLOOKUP(A39,[1]Sheet1!D41:D110,1,FALSE)</f>
        <v>Pseudomonas abietaniphila</v>
      </c>
      <c r="D39" t="str">
        <f>VLOOKUP(B39,[1]Sheet1!D41:E110,2,FALSE)</f>
        <v>abie</v>
      </c>
      <c r="E39" t="str">
        <f t="shared" si="0"/>
        <v>abie</v>
      </c>
      <c r="F39" t="str">
        <f>VLOOKUP(E39,[1]Sheet1!E40:I110,4,FALSE)</f>
        <v>Gammaproteobacteria</v>
      </c>
      <c r="G39" t="str">
        <f>VLOOKUP(E39,[1]Sheet1!E41:I110,5,FALSE)</f>
        <v>Pseudomonadales</v>
      </c>
      <c r="H39" t="s">
        <v>28</v>
      </c>
    </row>
    <row r="40" spans="1:8" x14ac:dyDescent="0.35">
      <c r="A40" t="s">
        <v>134</v>
      </c>
      <c r="B40" t="str">
        <f>VLOOKUP(A40,[1]Sheet1!D42:D111,1,FALSE)</f>
        <v>Pseudoalteromonas atlantica</v>
      </c>
      <c r="D40" t="str">
        <f>VLOOKUP(B40,[1]Sheet1!D42:E111,2,FALSE)</f>
        <v>T6c</v>
      </c>
      <c r="E40" t="str">
        <f t="shared" si="0"/>
        <v>T6c</v>
      </c>
      <c r="F40" t="str">
        <f>VLOOKUP(E40,[1]Sheet1!E41:I111,4,FALSE)</f>
        <v>Gammaproteobacteria</v>
      </c>
      <c r="G40" t="str">
        <f>VLOOKUP(E40,[1]Sheet1!E42:I111,5,FALSE)</f>
        <v>Alteromonadales</v>
      </c>
      <c r="H40" t="s">
        <v>27</v>
      </c>
    </row>
    <row r="41" spans="1:8" x14ac:dyDescent="0.35">
      <c r="A41" t="s">
        <v>133</v>
      </c>
      <c r="B41" s="5" t="s">
        <v>133</v>
      </c>
      <c r="C41" s="5" t="s">
        <v>8</v>
      </c>
      <c r="E41" t="s">
        <v>191</v>
      </c>
      <c r="F41" t="s">
        <v>125</v>
      </c>
      <c r="G41" t="s">
        <v>131</v>
      </c>
      <c r="H41" t="s">
        <v>191</v>
      </c>
    </row>
    <row r="42" spans="1:8" x14ac:dyDescent="0.35">
      <c r="A42" t="s">
        <v>133</v>
      </c>
      <c r="B42" s="5" t="s">
        <v>133</v>
      </c>
      <c r="C42" s="5">
        <v>27126</v>
      </c>
      <c r="E42" t="s">
        <v>8</v>
      </c>
      <c r="F42" t="s">
        <v>125</v>
      </c>
      <c r="G42" t="s">
        <v>131</v>
      </c>
      <c r="H42" t="s">
        <v>8</v>
      </c>
    </row>
    <row r="43" spans="1:8" x14ac:dyDescent="0.35">
      <c r="A43" t="s">
        <v>133</v>
      </c>
      <c r="B43" s="5" t="s">
        <v>133</v>
      </c>
      <c r="C43" s="5" t="s">
        <v>2</v>
      </c>
      <c r="E43" t="str">
        <f t="shared" si="0"/>
        <v>BS11</v>
      </c>
      <c r="F43" t="s">
        <v>125</v>
      </c>
      <c r="G43" t="s">
        <v>131</v>
      </c>
      <c r="H43" t="s">
        <v>2</v>
      </c>
    </row>
    <row r="44" spans="1:8" x14ac:dyDescent="0.35">
      <c r="A44" t="s">
        <v>130</v>
      </c>
      <c r="B44" s="5" t="s">
        <v>130</v>
      </c>
      <c r="C44" s="5" t="s">
        <v>4</v>
      </c>
      <c r="E44">
        <v>26499</v>
      </c>
      <c r="F44" t="s">
        <v>125</v>
      </c>
      <c r="G44" t="s">
        <v>131</v>
      </c>
      <c r="H44">
        <v>26499</v>
      </c>
    </row>
    <row r="45" spans="1:8" x14ac:dyDescent="0.35">
      <c r="A45" t="s">
        <v>130</v>
      </c>
      <c r="B45" s="5" t="s">
        <v>130</v>
      </c>
      <c r="C45" s="5">
        <v>26499</v>
      </c>
      <c r="E45" t="s">
        <v>4</v>
      </c>
      <c r="F45" t="s">
        <v>125</v>
      </c>
      <c r="G45" t="s">
        <v>131</v>
      </c>
      <c r="H45" t="s">
        <v>4</v>
      </c>
    </row>
    <row r="46" spans="1:8" x14ac:dyDescent="0.35">
      <c r="A46" t="s">
        <v>151</v>
      </c>
      <c r="B46" t="str">
        <f>VLOOKUP(A46,[1]Sheet1!D50:D119,1,FALSE)</f>
        <v>Pseudoalteromonas haloplanktis</v>
      </c>
      <c r="D46" t="str">
        <f>VLOOKUP(B46,[1]Sheet1!D50:E119,2,FALSE)</f>
        <v>CIP</v>
      </c>
      <c r="E46" t="str">
        <f t="shared" si="0"/>
        <v>CIP</v>
      </c>
      <c r="F46" t="str">
        <f>VLOOKUP(E46,[1]Sheet1!E49:I119,4,FALSE)</f>
        <v>Gammaproteobacteria</v>
      </c>
      <c r="G46" t="str">
        <f>VLOOKUP(E46,[1]Sheet1!E50:I119,5,FALSE)</f>
        <v>Alteromonadales</v>
      </c>
      <c r="H46" t="s">
        <v>3</v>
      </c>
    </row>
    <row r="47" spans="1:8" x14ac:dyDescent="0.35">
      <c r="A47" t="s">
        <v>166</v>
      </c>
      <c r="B47" t="str">
        <f>VLOOKUP(A47,[1]Sheet1!D52:D121,1,FALSE)</f>
        <v>Psychromonas arctica</v>
      </c>
      <c r="D47" t="str">
        <f>VLOOKUP(B47,[1]Sheet1!D52:E121,2,FALSE)</f>
        <v>Parctic</v>
      </c>
      <c r="E47" t="str">
        <f t="shared" si="0"/>
        <v>Parctic</v>
      </c>
      <c r="F47" t="str">
        <f>VLOOKUP(E47,[1]Sheet1!E51:I121,4,FALSE)</f>
        <v>Gammaproteobacteria</v>
      </c>
      <c r="G47" t="str">
        <f>VLOOKUP(E47,[1]Sheet1!E52:I121,5,FALSE)</f>
        <v>Alteromonadales</v>
      </c>
      <c r="H47" t="s">
        <v>19</v>
      </c>
    </row>
    <row r="48" spans="1:8" x14ac:dyDescent="0.35">
      <c r="A48" t="s">
        <v>154</v>
      </c>
      <c r="B48" t="str">
        <f>VLOOKUP(A48,[1]Sheet1!D53:D122,1,FALSE)</f>
        <v>Shewanella woodyi</v>
      </c>
      <c r="D48" t="str">
        <f>VLOOKUP(B48,[1]Sheet1!D53:E122,2,FALSE)</f>
        <v>woodyi</v>
      </c>
      <c r="E48" t="str">
        <f t="shared" si="0"/>
        <v>woodyi</v>
      </c>
      <c r="F48" t="str">
        <f>VLOOKUP(E48,[1]Sheet1!E52:I122,4,FALSE)</f>
        <v>Gammaproteobacteria</v>
      </c>
      <c r="G48" t="str">
        <f>VLOOKUP(E48,[1]Sheet1!E53:I122,5,FALSE)</f>
        <v>Alteromonadales</v>
      </c>
      <c r="H48" t="s">
        <v>55</v>
      </c>
    </row>
    <row r="49" spans="1:8" x14ac:dyDescent="0.35">
      <c r="A49" t="s">
        <v>159</v>
      </c>
      <c r="B49" t="str">
        <f>VLOOKUP(A49,[1]Sheet1!D56:D125,1,FALSE)</f>
        <v>Vibrio azureus</v>
      </c>
      <c r="D49" t="str">
        <f>VLOOKUP(B49,[1]Sheet1!D56:E125,2,FALSE)</f>
        <v>azure</v>
      </c>
      <c r="E49" t="str">
        <f t="shared" si="0"/>
        <v>azure</v>
      </c>
      <c r="F49" t="str">
        <f>VLOOKUP(E49,[1]Sheet1!E55:I125,4,FALSE)</f>
        <v>Gammaproteobacteria</v>
      </c>
      <c r="G49" t="str">
        <f>VLOOKUP(E49,[1]Sheet1!E56:I125,5,FALSE)</f>
        <v>Vibrionales</v>
      </c>
      <c r="H49" t="s">
        <v>30</v>
      </c>
    </row>
    <row r="50" spans="1:8" x14ac:dyDescent="0.35">
      <c r="A50" t="s">
        <v>162</v>
      </c>
      <c r="B50" t="str">
        <f>VLOOKUP(A50,[1]Sheet1!D57:D126,1,FALSE)</f>
        <v>Vibrio campbelli</v>
      </c>
      <c r="D50" t="str">
        <f>VLOOKUP(B50,[1]Sheet1!D57:E126,2,FALSE)</f>
        <v>vcamp</v>
      </c>
      <c r="E50" t="str">
        <f t="shared" si="0"/>
        <v>vcamp</v>
      </c>
      <c r="F50" t="str">
        <f>VLOOKUP(E50,[1]Sheet1!E56:I126,4,FALSE)</f>
        <v>Gammaproteobacteria</v>
      </c>
      <c r="G50" t="str">
        <f>VLOOKUP(E50,[1]Sheet1!E57:I126,5,FALSE)</f>
        <v>Vibrionales</v>
      </c>
      <c r="H50" t="s">
        <v>53</v>
      </c>
    </row>
    <row r="51" spans="1:8" x14ac:dyDescent="0.35">
      <c r="A51" t="s">
        <v>163</v>
      </c>
      <c r="B51" t="str">
        <f>VLOOKUP(A51,[1]Sheet1!D58:D127,1,FALSE)</f>
        <v>Vibrio natriegens</v>
      </c>
      <c r="D51" t="str">
        <f>VLOOKUP(B51,[1]Sheet1!D58:E127,2,FALSE)</f>
        <v>vnat</v>
      </c>
      <c r="E51" t="str">
        <f t="shared" si="0"/>
        <v>vnat</v>
      </c>
      <c r="F51" t="str">
        <f>VLOOKUP(E51,[1]Sheet1!E57:I127,4,FALSE)</f>
        <v>Gammaproteobacteria</v>
      </c>
      <c r="G51" t="str">
        <f>VLOOKUP(E51,[1]Sheet1!E58:I127,5,FALSE)</f>
        <v>Vibrionales</v>
      </c>
      <c r="H51" t="s">
        <v>54</v>
      </c>
    </row>
    <row r="52" spans="1:8" x14ac:dyDescent="0.35">
      <c r="A52" t="s">
        <v>138</v>
      </c>
      <c r="B52" s="5" t="s">
        <v>138</v>
      </c>
      <c r="C52" s="5">
        <v>25922</v>
      </c>
      <c r="E52" t="s">
        <v>17</v>
      </c>
      <c r="F52" t="s">
        <v>125</v>
      </c>
      <c r="G52" t="s">
        <v>139</v>
      </c>
      <c r="H52" t="s">
        <v>17</v>
      </c>
    </row>
    <row r="53" spans="1:8" x14ac:dyDescent="0.35">
      <c r="A53" t="s">
        <v>138</v>
      </c>
      <c r="B53" s="5" t="s">
        <v>138</v>
      </c>
      <c r="C53" s="5" t="s">
        <v>17</v>
      </c>
      <c r="E53" t="s">
        <v>192</v>
      </c>
      <c r="F53" t="s">
        <v>125</v>
      </c>
      <c r="G53" t="s">
        <v>139</v>
      </c>
      <c r="H53" t="s">
        <v>192</v>
      </c>
    </row>
    <row r="54" spans="1:8" x14ac:dyDescent="0.35">
      <c r="A54" t="s">
        <v>141</v>
      </c>
      <c r="B54" s="5" t="s">
        <v>141</v>
      </c>
      <c r="C54" s="5" t="s">
        <v>35</v>
      </c>
      <c r="E54" t="str">
        <f t="shared" si="0"/>
        <v>crono</v>
      </c>
      <c r="F54" t="s">
        <v>125</v>
      </c>
      <c r="G54" t="s">
        <v>139</v>
      </c>
      <c r="H54" t="s">
        <v>35</v>
      </c>
    </row>
    <row r="55" spans="1:8" x14ac:dyDescent="0.35">
      <c r="A55" t="s">
        <v>142</v>
      </c>
      <c r="B55" s="5" t="s">
        <v>142</v>
      </c>
      <c r="C55" s="5" t="s">
        <v>52</v>
      </c>
      <c r="E55" t="str">
        <f t="shared" si="0"/>
        <v>serr</v>
      </c>
      <c r="F55" t="s">
        <v>125</v>
      </c>
      <c r="G55" t="s">
        <v>139</v>
      </c>
      <c r="H55" t="s">
        <v>52</v>
      </c>
    </row>
    <row r="56" spans="1:8" x14ac:dyDescent="0.35">
      <c r="A56" t="s">
        <v>170</v>
      </c>
      <c r="B56" t="str">
        <f>VLOOKUP(A56,[1]Sheet1!D63:D132,1,FALSE)</f>
        <v>Pseudobacteriovorax antillogorgiicola</v>
      </c>
      <c r="D56" t="str">
        <f>VLOOKUP(B56,[1]Sheet1!D63:E132,2,FALSE)</f>
        <v>vorax</v>
      </c>
      <c r="E56" t="str">
        <f t="shared" si="0"/>
        <v>vorax</v>
      </c>
      <c r="F56" t="str">
        <f>VLOOKUP(E56,[1]Sheet1!E62:I132,4,FALSE)</f>
        <v>Oligoflexia</v>
      </c>
      <c r="G56" t="str">
        <f>VLOOKUP(E56,[1]Sheet1!E63:I132,5,FALSE)</f>
        <v>Bdellovibrionales</v>
      </c>
      <c r="H56" t="s">
        <v>169</v>
      </c>
    </row>
    <row r="57" spans="1:8" x14ac:dyDescent="0.35">
      <c r="A57" t="s">
        <v>104</v>
      </c>
      <c r="B57" s="5" t="s">
        <v>104</v>
      </c>
      <c r="C57" s="5" t="s">
        <v>45</v>
      </c>
      <c r="E57" t="str">
        <f t="shared" si="0"/>
        <v>kuro</v>
      </c>
      <c r="F57" t="s">
        <v>100</v>
      </c>
      <c r="G57" t="s">
        <v>102</v>
      </c>
      <c r="H57" t="s">
        <v>45</v>
      </c>
    </row>
    <row r="58" spans="1:8" x14ac:dyDescent="0.35">
      <c r="A58" t="s">
        <v>99</v>
      </c>
      <c r="B58" s="5" t="s">
        <v>99</v>
      </c>
      <c r="C58" s="5" t="s">
        <v>40</v>
      </c>
      <c r="E58" t="str">
        <f t="shared" si="0"/>
        <v>exig</v>
      </c>
      <c r="F58" t="s">
        <v>100</v>
      </c>
      <c r="G58" t="s">
        <v>102</v>
      </c>
      <c r="H58" t="s">
        <v>40</v>
      </c>
    </row>
    <row r="59" spans="1:8" x14ac:dyDescent="0.35">
      <c r="A59" t="s">
        <v>70</v>
      </c>
      <c r="B59" s="5" t="s">
        <v>70</v>
      </c>
      <c r="C59" s="5" t="s">
        <v>69</v>
      </c>
      <c r="E59" t="str">
        <f t="shared" si="0"/>
        <v>salin</v>
      </c>
      <c r="F59" t="s">
        <v>62</v>
      </c>
      <c r="G59" t="s">
        <v>64</v>
      </c>
      <c r="H59" t="s">
        <v>69</v>
      </c>
    </row>
    <row r="60" spans="1:8" x14ac:dyDescent="0.35">
      <c r="A60" t="s">
        <v>68</v>
      </c>
      <c r="B60" s="5" t="s">
        <v>68</v>
      </c>
      <c r="C60" s="5" t="s">
        <v>39</v>
      </c>
      <c r="E60" t="str">
        <f t="shared" ref="E60:E63" si="1">_xlfn.CONCAT(C60:D60)</f>
        <v>eryth</v>
      </c>
      <c r="F60" t="s">
        <v>62</v>
      </c>
      <c r="G60" t="s">
        <v>64</v>
      </c>
      <c r="H60" t="s">
        <v>39</v>
      </c>
    </row>
    <row r="61" spans="1:8" x14ac:dyDescent="0.35">
      <c r="A61" t="s">
        <v>61</v>
      </c>
      <c r="B61" s="5" t="s">
        <v>61</v>
      </c>
      <c r="C61" s="5" t="s">
        <v>36</v>
      </c>
      <c r="E61" t="str">
        <f t="shared" si="1"/>
        <v>cstat</v>
      </c>
      <c r="F61" t="s">
        <v>62</v>
      </c>
      <c r="G61" t="s">
        <v>64</v>
      </c>
      <c r="H61" t="s">
        <v>36</v>
      </c>
    </row>
    <row r="62" spans="1:8" x14ac:dyDescent="0.35">
      <c r="A62" t="s">
        <v>67</v>
      </c>
      <c r="B62" s="5" t="s">
        <v>67</v>
      </c>
      <c r="C62" s="5" t="s">
        <v>66</v>
      </c>
      <c r="E62" t="str">
        <f t="shared" si="1"/>
        <v>Ksed</v>
      </c>
      <c r="F62" t="s">
        <v>62</v>
      </c>
      <c r="G62" t="s">
        <v>64</v>
      </c>
      <c r="H62" t="s">
        <v>66</v>
      </c>
    </row>
    <row r="63" spans="1:8" x14ac:dyDescent="0.35">
      <c r="A63" t="s">
        <v>71</v>
      </c>
      <c r="B63" s="5" t="s">
        <v>71</v>
      </c>
      <c r="C63" s="5" t="s">
        <v>26</v>
      </c>
      <c r="E63" t="str">
        <f t="shared" si="1"/>
        <v>T2</v>
      </c>
      <c r="F63" t="s">
        <v>62</v>
      </c>
      <c r="G63" t="s">
        <v>64</v>
      </c>
      <c r="H6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24CC-465E-4D13-9921-16C17EA1ECE6}">
  <dimension ref="A1:G71"/>
  <sheetViews>
    <sheetView workbookViewId="0">
      <selection activeCell="M34" sqref="M34"/>
    </sheetView>
  </sheetViews>
  <sheetFormatPr defaultRowHeight="14.5" x14ac:dyDescent="0.35"/>
  <cols>
    <col min="1" max="1" width="14.453125" bestFit="1" customWidth="1"/>
    <col min="2" max="2" width="20.1796875" bestFit="1" customWidth="1"/>
    <col min="3" max="3" width="17.26953125" bestFit="1" customWidth="1"/>
    <col min="4" max="4" width="24" bestFit="1" customWidth="1"/>
    <col min="5" max="5" width="19.08984375" bestFit="1" customWidth="1"/>
    <col min="6" max="6" width="17" customWidth="1"/>
    <col min="7" max="7" width="10.6328125" bestFit="1" customWidth="1"/>
  </cols>
  <sheetData>
    <row r="1" spans="1:7" ht="15.5" x14ac:dyDescent="0.35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331</v>
      </c>
    </row>
    <row r="2" spans="1:7" x14ac:dyDescent="0.35">
      <c r="A2" t="s">
        <v>62</v>
      </c>
      <c r="B2" t="s">
        <v>62</v>
      </c>
      <c r="C2" t="s">
        <v>64</v>
      </c>
      <c r="D2" t="s">
        <v>199</v>
      </c>
      <c r="E2" t="s">
        <v>200</v>
      </c>
      <c r="F2" t="s">
        <v>201</v>
      </c>
      <c r="G2" t="s">
        <v>36</v>
      </c>
    </row>
    <row r="3" spans="1:7" x14ac:dyDescent="0.35">
      <c r="A3" t="s">
        <v>62</v>
      </c>
      <c r="B3" t="s">
        <v>62</v>
      </c>
      <c r="C3" t="s">
        <v>64</v>
      </c>
      <c r="D3" t="s">
        <v>202</v>
      </c>
      <c r="E3" t="s">
        <v>203</v>
      </c>
      <c r="F3" t="s">
        <v>204</v>
      </c>
      <c r="G3" t="s">
        <v>66</v>
      </c>
    </row>
    <row r="4" spans="1:7" x14ac:dyDescent="0.35">
      <c r="A4" t="s">
        <v>62</v>
      </c>
      <c r="B4" t="s">
        <v>62</v>
      </c>
      <c r="C4" t="s">
        <v>64</v>
      </c>
      <c r="D4" t="s">
        <v>205</v>
      </c>
      <c r="E4" t="s">
        <v>206</v>
      </c>
      <c r="F4" t="s">
        <v>207</v>
      </c>
      <c r="G4" t="s">
        <v>39</v>
      </c>
    </row>
    <row r="5" spans="1:7" x14ac:dyDescent="0.35">
      <c r="A5" t="s">
        <v>62</v>
      </c>
      <c r="B5" t="s">
        <v>62</v>
      </c>
      <c r="C5" t="s">
        <v>64</v>
      </c>
      <c r="D5" t="s">
        <v>208</v>
      </c>
      <c r="E5" t="s">
        <v>209</v>
      </c>
      <c r="F5" t="s">
        <v>210</v>
      </c>
      <c r="G5" t="s">
        <v>69</v>
      </c>
    </row>
    <row r="6" spans="1:7" x14ac:dyDescent="0.35">
      <c r="A6" t="s">
        <v>62</v>
      </c>
      <c r="B6" t="s">
        <v>62</v>
      </c>
      <c r="C6" t="s">
        <v>64</v>
      </c>
      <c r="D6" t="s">
        <v>211</v>
      </c>
      <c r="E6" t="s">
        <v>212</v>
      </c>
      <c r="F6" t="s">
        <v>213</v>
      </c>
      <c r="G6" t="s">
        <v>26</v>
      </c>
    </row>
    <row r="7" spans="1:7" x14ac:dyDescent="0.35">
      <c r="A7" t="s">
        <v>214</v>
      </c>
      <c r="B7" t="s">
        <v>74</v>
      </c>
      <c r="C7" t="s">
        <v>76</v>
      </c>
      <c r="D7" t="s">
        <v>215</v>
      </c>
      <c r="E7" t="s">
        <v>216</v>
      </c>
      <c r="F7" t="s">
        <v>217</v>
      </c>
      <c r="G7" t="s">
        <v>72</v>
      </c>
    </row>
    <row r="8" spans="1:7" x14ac:dyDescent="0.35">
      <c r="A8" t="s">
        <v>214</v>
      </c>
      <c r="B8" t="s">
        <v>74</v>
      </c>
      <c r="C8" t="s">
        <v>79</v>
      </c>
      <c r="D8" t="s">
        <v>218</v>
      </c>
      <c r="E8" t="s">
        <v>219</v>
      </c>
      <c r="F8" t="s">
        <v>220</v>
      </c>
      <c r="G8" t="s">
        <v>1</v>
      </c>
    </row>
    <row r="9" spans="1:7" x14ac:dyDescent="0.35">
      <c r="A9" t="s">
        <v>214</v>
      </c>
      <c r="B9" t="s">
        <v>74</v>
      </c>
      <c r="C9" t="s">
        <v>79</v>
      </c>
      <c r="D9" t="s">
        <v>218</v>
      </c>
      <c r="E9" t="s">
        <v>219</v>
      </c>
      <c r="F9" t="s">
        <v>220</v>
      </c>
      <c r="G9" t="s">
        <v>21</v>
      </c>
    </row>
    <row r="10" spans="1:7" x14ac:dyDescent="0.35">
      <c r="A10" t="s">
        <v>214</v>
      </c>
      <c r="B10" t="s">
        <v>74</v>
      </c>
      <c r="C10" t="s">
        <v>82</v>
      </c>
      <c r="D10" t="s">
        <v>221</v>
      </c>
      <c r="E10" t="s">
        <v>222</v>
      </c>
      <c r="F10" t="s">
        <v>223</v>
      </c>
      <c r="G10" t="s">
        <v>37</v>
      </c>
    </row>
    <row r="11" spans="1:7" x14ac:dyDescent="0.35">
      <c r="A11" t="s">
        <v>214</v>
      </c>
      <c r="B11" t="s">
        <v>74</v>
      </c>
      <c r="C11" t="s">
        <v>82</v>
      </c>
      <c r="D11" t="s">
        <v>221</v>
      </c>
      <c r="E11" t="s">
        <v>224</v>
      </c>
      <c r="F11" t="s">
        <v>225</v>
      </c>
      <c r="G11" t="s">
        <v>46</v>
      </c>
    </row>
    <row r="12" spans="1:7" x14ac:dyDescent="0.35">
      <c r="A12" t="s">
        <v>214</v>
      </c>
      <c r="B12" t="s">
        <v>74</v>
      </c>
      <c r="C12" t="s">
        <v>82</v>
      </c>
      <c r="D12" t="s">
        <v>221</v>
      </c>
      <c r="E12" t="s">
        <v>226</v>
      </c>
      <c r="F12" t="s">
        <v>227</v>
      </c>
      <c r="G12" t="s">
        <v>85</v>
      </c>
    </row>
    <row r="13" spans="1:7" x14ac:dyDescent="0.35">
      <c r="A13" t="s">
        <v>214</v>
      </c>
      <c r="B13" t="s">
        <v>74</v>
      </c>
      <c r="C13" t="s">
        <v>82</v>
      </c>
      <c r="D13" t="s">
        <v>221</v>
      </c>
      <c r="E13" t="s">
        <v>228</v>
      </c>
      <c r="F13" t="s">
        <v>229</v>
      </c>
      <c r="G13" t="s">
        <v>20</v>
      </c>
    </row>
    <row r="14" spans="1:7" x14ac:dyDescent="0.35">
      <c r="A14" t="s">
        <v>214</v>
      </c>
      <c r="B14" t="s">
        <v>74</v>
      </c>
      <c r="C14" t="s">
        <v>82</v>
      </c>
      <c r="D14" t="s">
        <v>221</v>
      </c>
      <c r="E14" t="s">
        <v>228</v>
      </c>
      <c r="F14" t="s">
        <v>230</v>
      </c>
      <c r="G14" t="s">
        <v>22</v>
      </c>
    </row>
    <row r="15" spans="1:7" x14ac:dyDescent="0.35">
      <c r="A15" t="s">
        <v>214</v>
      </c>
      <c r="B15" t="s">
        <v>74</v>
      </c>
      <c r="C15" t="s">
        <v>90</v>
      </c>
      <c r="D15" t="s">
        <v>231</v>
      </c>
      <c r="E15" t="s">
        <v>232</v>
      </c>
      <c r="F15" t="s">
        <v>233</v>
      </c>
      <c r="G15" t="s">
        <v>44</v>
      </c>
    </row>
    <row r="16" spans="1:7" x14ac:dyDescent="0.35">
      <c r="A16" t="s">
        <v>214</v>
      </c>
      <c r="B16" t="s">
        <v>74</v>
      </c>
      <c r="C16" t="s">
        <v>82</v>
      </c>
      <c r="D16" t="s">
        <v>221</v>
      </c>
      <c r="E16" t="s">
        <v>234</v>
      </c>
      <c r="F16" t="s">
        <v>235</v>
      </c>
      <c r="G16" t="s">
        <v>6</v>
      </c>
    </row>
    <row r="17" spans="1:7" x14ac:dyDescent="0.35">
      <c r="A17" t="s">
        <v>214</v>
      </c>
      <c r="B17" t="s">
        <v>74</v>
      </c>
      <c r="C17" t="s">
        <v>82</v>
      </c>
      <c r="D17" t="s">
        <v>221</v>
      </c>
      <c r="E17" t="s">
        <v>236</v>
      </c>
      <c r="F17" t="s">
        <v>237</v>
      </c>
      <c r="G17" t="s">
        <v>49</v>
      </c>
    </row>
    <row r="18" spans="1:7" x14ac:dyDescent="0.35">
      <c r="A18" t="s">
        <v>214</v>
      </c>
      <c r="B18" t="s">
        <v>74</v>
      </c>
      <c r="C18" t="s">
        <v>82</v>
      </c>
      <c r="D18" t="s">
        <v>221</v>
      </c>
      <c r="E18" t="s">
        <v>238</v>
      </c>
      <c r="F18" t="s">
        <v>239</v>
      </c>
      <c r="G18" t="s">
        <v>25</v>
      </c>
    </row>
    <row r="19" spans="1:7" x14ac:dyDescent="0.35">
      <c r="A19" t="s">
        <v>214</v>
      </c>
      <c r="B19" t="s">
        <v>74</v>
      </c>
      <c r="C19" t="s">
        <v>82</v>
      </c>
      <c r="D19" t="s">
        <v>221</v>
      </c>
      <c r="E19" t="s">
        <v>240</v>
      </c>
      <c r="F19" t="s">
        <v>241</v>
      </c>
      <c r="G19" t="s">
        <v>18</v>
      </c>
    </row>
    <row r="20" spans="1:7" x14ac:dyDescent="0.35">
      <c r="A20" t="s">
        <v>214</v>
      </c>
      <c r="B20" t="s">
        <v>74</v>
      </c>
      <c r="C20" t="s">
        <v>79</v>
      </c>
      <c r="D20" t="s">
        <v>242</v>
      </c>
      <c r="E20" t="s">
        <v>243</v>
      </c>
      <c r="F20" t="s">
        <v>244</v>
      </c>
      <c r="G20" t="s">
        <v>31</v>
      </c>
    </row>
    <row r="21" spans="1:7" x14ac:dyDescent="0.35">
      <c r="A21" t="s">
        <v>214</v>
      </c>
      <c r="B21" t="s">
        <v>74</v>
      </c>
      <c r="C21" t="s">
        <v>82</v>
      </c>
      <c r="D21" t="s">
        <v>221</v>
      </c>
      <c r="E21" t="s">
        <v>245</v>
      </c>
      <c r="F21" t="s">
        <v>246</v>
      </c>
      <c r="G21" t="s">
        <v>24</v>
      </c>
    </row>
    <row r="22" spans="1:7" x14ac:dyDescent="0.35">
      <c r="A22" t="s">
        <v>214</v>
      </c>
      <c r="B22" t="s">
        <v>74</v>
      </c>
      <c r="C22" t="s">
        <v>82</v>
      </c>
      <c r="D22" t="s">
        <v>221</v>
      </c>
      <c r="E22" t="s">
        <v>247</v>
      </c>
      <c r="F22" t="s">
        <v>248</v>
      </c>
      <c r="G22" t="s">
        <v>32</v>
      </c>
    </row>
    <row r="23" spans="1:7" x14ac:dyDescent="0.35">
      <c r="A23" t="s">
        <v>249</v>
      </c>
      <c r="B23" t="s">
        <v>100</v>
      </c>
      <c r="C23" t="s">
        <v>102</v>
      </c>
      <c r="D23" t="s">
        <v>100</v>
      </c>
      <c r="E23" t="s">
        <v>250</v>
      </c>
      <c r="F23" t="s">
        <v>251</v>
      </c>
      <c r="G23" t="s">
        <v>40</v>
      </c>
    </row>
    <row r="24" spans="1:7" x14ac:dyDescent="0.35">
      <c r="A24" t="s">
        <v>249</v>
      </c>
      <c r="B24" t="s">
        <v>100</v>
      </c>
      <c r="C24" t="s">
        <v>102</v>
      </c>
      <c r="D24" t="s">
        <v>252</v>
      </c>
      <c r="E24" t="s">
        <v>253</v>
      </c>
      <c r="F24" t="s">
        <v>254</v>
      </c>
      <c r="G24" t="s">
        <v>45</v>
      </c>
    </row>
    <row r="25" spans="1:7" x14ac:dyDescent="0.35">
      <c r="A25" t="s">
        <v>255</v>
      </c>
      <c r="B25" t="s">
        <v>107</v>
      </c>
      <c r="C25" t="s">
        <v>109</v>
      </c>
      <c r="D25" t="s">
        <v>256</v>
      </c>
      <c r="E25" t="s">
        <v>257</v>
      </c>
      <c r="F25" t="s">
        <v>258</v>
      </c>
      <c r="G25" t="s">
        <v>105</v>
      </c>
    </row>
    <row r="26" spans="1:7" x14ac:dyDescent="0.35">
      <c r="A26" t="s">
        <v>255</v>
      </c>
      <c r="B26" t="s">
        <v>107</v>
      </c>
      <c r="C26" t="s">
        <v>109</v>
      </c>
      <c r="D26" t="s">
        <v>256</v>
      </c>
      <c r="E26" t="s">
        <v>257</v>
      </c>
      <c r="F26" t="s">
        <v>258</v>
      </c>
      <c r="G26" t="s">
        <v>111</v>
      </c>
    </row>
    <row r="27" spans="1:7" x14ac:dyDescent="0.35">
      <c r="A27" t="s">
        <v>255</v>
      </c>
      <c r="B27" t="s">
        <v>113</v>
      </c>
      <c r="C27" t="s">
        <v>115</v>
      </c>
      <c r="D27" t="s">
        <v>259</v>
      </c>
      <c r="E27" t="s">
        <v>260</v>
      </c>
      <c r="F27" t="s">
        <v>261</v>
      </c>
      <c r="G27" t="s">
        <v>47</v>
      </c>
    </row>
    <row r="28" spans="1:7" x14ac:dyDescent="0.35">
      <c r="A28" t="s">
        <v>255</v>
      </c>
      <c r="B28" t="s">
        <v>113</v>
      </c>
      <c r="C28" t="s">
        <v>115</v>
      </c>
      <c r="D28" t="s">
        <v>262</v>
      </c>
      <c r="E28" t="s">
        <v>263</v>
      </c>
      <c r="F28" t="s">
        <v>264</v>
      </c>
      <c r="G28" t="s">
        <v>29</v>
      </c>
    </row>
    <row r="29" spans="1:7" x14ac:dyDescent="0.35">
      <c r="A29" t="s">
        <v>255</v>
      </c>
      <c r="B29" t="s">
        <v>113</v>
      </c>
      <c r="C29" t="s">
        <v>115</v>
      </c>
      <c r="D29" t="s">
        <v>262</v>
      </c>
      <c r="E29" t="s">
        <v>265</v>
      </c>
      <c r="F29" t="s">
        <v>266</v>
      </c>
      <c r="G29" t="s">
        <v>7</v>
      </c>
    </row>
    <row r="30" spans="1:7" x14ac:dyDescent="0.35">
      <c r="A30" t="s">
        <v>255</v>
      </c>
      <c r="B30" t="s">
        <v>113</v>
      </c>
      <c r="C30" t="s">
        <v>115</v>
      </c>
      <c r="D30" t="s">
        <v>262</v>
      </c>
      <c r="E30" t="s">
        <v>267</v>
      </c>
      <c r="F30" t="s">
        <v>268</v>
      </c>
      <c r="G30" t="s">
        <v>119</v>
      </c>
    </row>
    <row r="31" spans="1:7" x14ac:dyDescent="0.35">
      <c r="A31" t="s">
        <v>255</v>
      </c>
      <c r="B31" t="s">
        <v>113</v>
      </c>
      <c r="C31" t="s">
        <v>115</v>
      </c>
      <c r="D31" t="s">
        <v>262</v>
      </c>
      <c r="E31" t="s">
        <v>269</v>
      </c>
      <c r="F31" t="s">
        <v>270</v>
      </c>
      <c r="G31" t="s">
        <v>42</v>
      </c>
    </row>
    <row r="32" spans="1:7" x14ac:dyDescent="0.35">
      <c r="A32" t="s">
        <v>255</v>
      </c>
      <c r="B32" t="s">
        <v>113</v>
      </c>
      <c r="C32" t="s">
        <v>115</v>
      </c>
      <c r="D32" t="s">
        <v>262</v>
      </c>
      <c r="E32" t="s">
        <v>271</v>
      </c>
      <c r="F32" t="s">
        <v>272</v>
      </c>
      <c r="G32" t="s">
        <v>14</v>
      </c>
    </row>
    <row r="33" spans="1:7" x14ac:dyDescent="0.35">
      <c r="A33" t="s">
        <v>255</v>
      </c>
      <c r="B33" t="s">
        <v>113</v>
      </c>
      <c r="C33" t="s">
        <v>115</v>
      </c>
      <c r="D33" t="s">
        <v>262</v>
      </c>
      <c r="E33" t="s">
        <v>273</v>
      </c>
      <c r="F33" t="s">
        <v>274</v>
      </c>
      <c r="G33" t="s">
        <v>43</v>
      </c>
    </row>
    <row r="34" spans="1:7" x14ac:dyDescent="0.35">
      <c r="A34" t="s">
        <v>214</v>
      </c>
      <c r="B34" t="s">
        <v>125</v>
      </c>
      <c r="C34" t="s">
        <v>127</v>
      </c>
      <c r="D34" t="s">
        <v>275</v>
      </c>
      <c r="E34" t="s">
        <v>276</v>
      </c>
      <c r="F34" t="s">
        <v>277</v>
      </c>
      <c r="G34" t="s">
        <v>33</v>
      </c>
    </row>
    <row r="35" spans="1:7" x14ac:dyDescent="0.35">
      <c r="A35" t="s">
        <v>214</v>
      </c>
      <c r="B35" t="s">
        <v>125</v>
      </c>
      <c r="C35" t="s">
        <v>127</v>
      </c>
      <c r="D35" t="s">
        <v>275</v>
      </c>
      <c r="E35" t="s">
        <v>276</v>
      </c>
      <c r="F35" t="s">
        <v>278</v>
      </c>
      <c r="G35" t="s">
        <v>38</v>
      </c>
    </row>
    <row r="36" spans="1:7" x14ac:dyDescent="0.35">
      <c r="A36" t="s">
        <v>214</v>
      </c>
      <c r="B36" t="s">
        <v>125</v>
      </c>
      <c r="C36" t="s">
        <v>131</v>
      </c>
      <c r="D36" t="s">
        <v>279</v>
      </c>
      <c r="E36" t="s">
        <v>280</v>
      </c>
      <c r="F36" t="s">
        <v>281</v>
      </c>
      <c r="G36">
        <v>26499</v>
      </c>
    </row>
    <row r="37" spans="1:7" x14ac:dyDescent="0.35">
      <c r="A37" t="s">
        <v>214</v>
      </c>
      <c r="B37" t="s">
        <v>125</v>
      </c>
      <c r="C37" t="s">
        <v>131</v>
      </c>
      <c r="D37" t="s">
        <v>279</v>
      </c>
      <c r="E37" t="s">
        <v>280</v>
      </c>
      <c r="F37" t="s">
        <v>282</v>
      </c>
      <c r="G37">
        <v>27126</v>
      </c>
    </row>
    <row r="38" spans="1:7" x14ac:dyDescent="0.35">
      <c r="A38" t="s">
        <v>214</v>
      </c>
      <c r="B38" t="s">
        <v>125</v>
      </c>
      <c r="C38" t="s">
        <v>131</v>
      </c>
      <c r="D38" t="s">
        <v>279</v>
      </c>
      <c r="E38" t="s">
        <v>280</v>
      </c>
      <c r="F38" t="s">
        <v>282</v>
      </c>
      <c r="G38" t="s">
        <v>2</v>
      </c>
    </row>
    <row r="39" spans="1:7" x14ac:dyDescent="0.35">
      <c r="A39" t="s">
        <v>214</v>
      </c>
      <c r="B39" t="s">
        <v>125</v>
      </c>
      <c r="C39" t="s">
        <v>131</v>
      </c>
      <c r="D39" t="s">
        <v>279</v>
      </c>
      <c r="E39" t="s">
        <v>280</v>
      </c>
      <c r="F39" t="s">
        <v>281</v>
      </c>
      <c r="G39" t="s">
        <v>4</v>
      </c>
    </row>
    <row r="40" spans="1:7" x14ac:dyDescent="0.35">
      <c r="A40" t="s">
        <v>214</v>
      </c>
      <c r="B40" t="s">
        <v>125</v>
      </c>
      <c r="C40" t="s">
        <v>131</v>
      </c>
      <c r="D40" t="s">
        <v>279</v>
      </c>
      <c r="E40" t="s">
        <v>280</v>
      </c>
      <c r="F40" t="s">
        <v>281</v>
      </c>
      <c r="G40" t="s">
        <v>5</v>
      </c>
    </row>
    <row r="41" spans="1:7" x14ac:dyDescent="0.35">
      <c r="A41" t="s">
        <v>214</v>
      </c>
      <c r="B41" t="s">
        <v>125</v>
      </c>
      <c r="C41" t="s">
        <v>131</v>
      </c>
      <c r="D41" t="s">
        <v>279</v>
      </c>
      <c r="E41" t="s">
        <v>280</v>
      </c>
      <c r="F41" t="s">
        <v>282</v>
      </c>
      <c r="G41" t="s">
        <v>8</v>
      </c>
    </row>
    <row r="42" spans="1:7" x14ac:dyDescent="0.35">
      <c r="A42" t="s">
        <v>214</v>
      </c>
      <c r="B42" t="s">
        <v>125</v>
      </c>
      <c r="C42" t="s">
        <v>131</v>
      </c>
      <c r="D42" t="s">
        <v>279</v>
      </c>
      <c r="E42" t="s">
        <v>283</v>
      </c>
      <c r="F42" t="s">
        <v>284</v>
      </c>
      <c r="G42" t="s">
        <v>27</v>
      </c>
    </row>
    <row r="43" spans="1:7" x14ac:dyDescent="0.35">
      <c r="A43" t="s">
        <v>214</v>
      </c>
      <c r="B43" t="s">
        <v>125</v>
      </c>
      <c r="C43" t="s">
        <v>136</v>
      </c>
      <c r="D43" t="s">
        <v>285</v>
      </c>
      <c r="E43" t="s">
        <v>286</v>
      </c>
      <c r="F43" t="s">
        <v>287</v>
      </c>
      <c r="G43" t="s">
        <v>28</v>
      </c>
    </row>
    <row r="44" spans="1:7" x14ac:dyDescent="0.35">
      <c r="A44" t="s">
        <v>214</v>
      </c>
      <c r="B44" t="s">
        <v>125</v>
      </c>
      <c r="C44" t="s">
        <v>139</v>
      </c>
      <c r="D44" t="s">
        <v>288</v>
      </c>
      <c r="E44" t="s">
        <v>289</v>
      </c>
      <c r="F44" t="s">
        <v>290</v>
      </c>
      <c r="G44">
        <v>25922</v>
      </c>
    </row>
    <row r="45" spans="1:7" x14ac:dyDescent="0.35">
      <c r="A45" t="s">
        <v>214</v>
      </c>
      <c r="B45" t="s">
        <v>125</v>
      </c>
      <c r="C45" t="s">
        <v>139</v>
      </c>
      <c r="D45" t="s">
        <v>288</v>
      </c>
      <c r="E45" t="s">
        <v>291</v>
      </c>
      <c r="F45" t="s">
        <v>292</v>
      </c>
      <c r="G45" t="s">
        <v>35</v>
      </c>
    </row>
    <row r="46" spans="1:7" x14ac:dyDescent="0.35">
      <c r="A46" t="s">
        <v>214</v>
      </c>
      <c r="B46" t="s">
        <v>125</v>
      </c>
      <c r="C46" t="s">
        <v>139</v>
      </c>
      <c r="D46" t="s">
        <v>288</v>
      </c>
      <c r="E46" t="s">
        <v>289</v>
      </c>
      <c r="F46" t="s">
        <v>290</v>
      </c>
      <c r="G46" t="s">
        <v>17</v>
      </c>
    </row>
    <row r="47" spans="1:7" x14ac:dyDescent="0.35">
      <c r="A47" t="s">
        <v>214</v>
      </c>
      <c r="B47" t="s">
        <v>125</v>
      </c>
      <c r="C47" t="s">
        <v>139</v>
      </c>
      <c r="D47" t="s">
        <v>293</v>
      </c>
      <c r="E47" t="s">
        <v>294</v>
      </c>
      <c r="F47" t="s">
        <v>295</v>
      </c>
      <c r="G47" t="s">
        <v>52</v>
      </c>
    </row>
    <row r="48" spans="1:7" x14ac:dyDescent="0.35">
      <c r="A48" t="s">
        <v>214</v>
      </c>
      <c r="B48" t="s">
        <v>125</v>
      </c>
      <c r="C48" t="s">
        <v>144</v>
      </c>
      <c r="D48" t="s">
        <v>296</v>
      </c>
      <c r="E48" t="s">
        <v>297</v>
      </c>
      <c r="F48" t="s">
        <v>261</v>
      </c>
      <c r="G48" t="s">
        <v>41</v>
      </c>
    </row>
    <row r="49" spans="1:7" x14ac:dyDescent="0.35">
      <c r="A49" t="s">
        <v>214</v>
      </c>
      <c r="B49" t="s">
        <v>125</v>
      </c>
      <c r="C49" t="s">
        <v>131</v>
      </c>
      <c r="D49" t="s">
        <v>298</v>
      </c>
      <c r="E49" t="s">
        <v>299</v>
      </c>
      <c r="F49" t="s">
        <v>300</v>
      </c>
      <c r="G49" t="s">
        <v>50</v>
      </c>
    </row>
    <row r="50" spans="1:7" x14ac:dyDescent="0.35">
      <c r="A50" t="s">
        <v>214</v>
      </c>
      <c r="B50" t="s">
        <v>125</v>
      </c>
      <c r="C50" t="s">
        <v>131</v>
      </c>
      <c r="D50" t="s">
        <v>279</v>
      </c>
      <c r="E50" t="s">
        <v>301</v>
      </c>
      <c r="F50" t="s">
        <v>302</v>
      </c>
      <c r="G50" t="s">
        <v>13</v>
      </c>
    </row>
    <row r="51" spans="1:7" x14ac:dyDescent="0.35">
      <c r="A51" t="s">
        <v>214</v>
      </c>
      <c r="B51" t="s">
        <v>125</v>
      </c>
      <c r="C51" t="s">
        <v>127</v>
      </c>
      <c r="D51" t="s">
        <v>303</v>
      </c>
      <c r="E51" t="s">
        <v>304</v>
      </c>
      <c r="F51" t="s">
        <v>281</v>
      </c>
      <c r="G51" t="s">
        <v>16</v>
      </c>
    </row>
    <row r="52" spans="1:7" x14ac:dyDescent="0.35">
      <c r="A52" t="s">
        <v>214</v>
      </c>
      <c r="B52" t="s">
        <v>125</v>
      </c>
      <c r="C52" t="s">
        <v>131</v>
      </c>
      <c r="D52" t="s">
        <v>305</v>
      </c>
      <c r="E52" t="s">
        <v>306</v>
      </c>
      <c r="F52" t="s">
        <v>241</v>
      </c>
      <c r="G52" t="s">
        <v>149</v>
      </c>
    </row>
    <row r="53" spans="1:7" x14ac:dyDescent="0.35">
      <c r="A53" t="s">
        <v>214</v>
      </c>
      <c r="B53" t="s">
        <v>125</v>
      </c>
      <c r="C53" t="s">
        <v>131</v>
      </c>
      <c r="D53" t="s">
        <v>307</v>
      </c>
      <c r="E53" t="s">
        <v>283</v>
      </c>
      <c r="F53" t="s">
        <v>308</v>
      </c>
      <c r="G53" t="s">
        <v>3</v>
      </c>
    </row>
    <row r="54" spans="1:7" x14ac:dyDescent="0.35">
      <c r="A54" t="s">
        <v>214</v>
      </c>
      <c r="B54" t="s">
        <v>125</v>
      </c>
      <c r="C54" t="s">
        <v>127</v>
      </c>
      <c r="D54" t="s">
        <v>125</v>
      </c>
      <c r="E54" t="s">
        <v>309</v>
      </c>
      <c r="F54" t="s">
        <v>310</v>
      </c>
      <c r="G54" t="s">
        <v>51</v>
      </c>
    </row>
    <row r="55" spans="1:7" x14ac:dyDescent="0.35">
      <c r="A55" t="s">
        <v>214</v>
      </c>
      <c r="B55" t="s">
        <v>74</v>
      </c>
      <c r="C55" t="s">
        <v>82</v>
      </c>
      <c r="D55" t="s">
        <v>221</v>
      </c>
      <c r="E55" t="s">
        <v>238</v>
      </c>
      <c r="F55" t="s">
        <v>311</v>
      </c>
      <c r="G55" t="s">
        <v>153</v>
      </c>
    </row>
    <row r="56" spans="1:7" x14ac:dyDescent="0.35">
      <c r="A56" t="s">
        <v>214</v>
      </c>
      <c r="B56" t="s">
        <v>74</v>
      </c>
      <c r="C56" t="s">
        <v>82</v>
      </c>
      <c r="D56" t="s">
        <v>221</v>
      </c>
      <c r="E56" t="s">
        <v>238</v>
      </c>
      <c r="F56" t="s">
        <v>311</v>
      </c>
      <c r="G56" t="s">
        <v>11</v>
      </c>
    </row>
    <row r="57" spans="1:7" x14ac:dyDescent="0.35">
      <c r="A57" t="s">
        <v>214</v>
      </c>
      <c r="B57" t="s">
        <v>125</v>
      </c>
      <c r="C57" t="s">
        <v>131</v>
      </c>
      <c r="D57" t="s">
        <v>305</v>
      </c>
      <c r="E57" t="s">
        <v>306</v>
      </c>
      <c r="F57" t="s">
        <v>55</v>
      </c>
      <c r="G57" t="s">
        <v>55</v>
      </c>
    </row>
    <row r="58" spans="1:7" x14ac:dyDescent="0.35">
      <c r="A58" t="s">
        <v>214</v>
      </c>
      <c r="B58" t="s">
        <v>125</v>
      </c>
      <c r="C58" t="s">
        <v>157</v>
      </c>
      <c r="D58" t="s">
        <v>157</v>
      </c>
      <c r="E58" t="s">
        <v>312</v>
      </c>
      <c r="F58" t="s">
        <v>313</v>
      </c>
      <c r="G58" t="s">
        <v>155</v>
      </c>
    </row>
    <row r="59" spans="1:7" x14ac:dyDescent="0.35">
      <c r="A59" t="s">
        <v>214</v>
      </c>
      <c r="B59" t="s">
        <v>125</v>
      </c>
      <c r="C59" t="s">
        <v>160</v>
      </c>
      <c r="D59" t="s">
        <v>314</v>
      </c>
      <c r="E59" t="s">
        <v>315</v>
      </c>
      <c r="F59" t="s">
        <v>316</v>
      </c>
      <c r="G59" t="s">
        <v>30</v>
      </c>
    </row>
    <row r="60" spans="1:7" x14ac:dyDescent="0.35">
      <c r="A60" t="s">
        <v>214</v>
      </c>
      <c r="B60" t="s">
        <v>125</v>
      </c>
      <c r="C60" t="s">
        <v>160</v>
      </c>
      <c r="D60" t="s">
        <v>314</v>
      </c>
      <c r="E60" t="s">
        <v>315</v>
      </c>
      <c r="F60" t="s">
        <v>317</v>
      </c>
      <c r="G60" t="s">
        <v>53</v>
      </c>
    </row>
    <row r="61" spans="1:7" x14ac:dyDescent="0.35">
      <c r="A61" t="s">
        <v>214</v>
      </c>
      <c r="B61" t="s">
        <v>125</v>
      </c>
      <c r="C61" t="s">
        <v>160</v>
      </c>
      <c r="D61" t="s">
        <v>314</v>
      </c>
      <c r="E61" t="s">
        <v>315</v>
      </c>
      <c r="F61" t="s">
        <v>318</v>
      </c>
      <c r="G61" t="s">
        <v>54</v>
      </c>
    </row>
    <row r="62" spans="1:7" x14ac:dyDescent="0.35">
      <c r="A62" t="s">
        <v>214</v>
      </c>
      <c r="B62" t="s">
        <v>125</v>
      </c>
      <c r="C62" t="s">
        <v>131</v>
      </c>
      <c r="D62" t="s">
        <v>307</v>
      </c>
      <c r="E62" t="s">
        <v>283</v>
      </c>
      <c r="F62" t="s">
        <v>34</v>
      </c>
      <c r="G62" t="s">
        <v>34</v>
      </c>
    </row>
    <row r="63" spans="1:7" x14ac:dyDescent="0.35">
      <c r="A63" t="s">
        <v>214</v>
      </c>
      <c r="B63" t="s">
        <v>125</v>
      </c>
      <c r="C63" t="s">
        <v>131</v>
      </c>
      <c r="D63" t="s">
        <v>319</v>
      </c>
      <c r="E63" t="s">
        <v>320</v>
      </c>
      <c r="F63" t="s">
        <v>321</v>
      </c>
      <c r="G63" t="s">
        <v>48</v>
      </c>
    </row>
    <row r="64" spans="1:7" x14ac:dyDescent="0.35">
      <c r="A64" t="s">
        <v>214</v>
      </c>
      <c r="B64" t="s">
        <v>125</v>
      </c>
      <c r="C64" t="s">
        <v>131</v>
      </c>
      <c r="D64" t="s">
        <v>319</v>
      </c>
      <c r="E64" t="s">
        <v>320</v>
      </c>
      <c r="F64" t="s">
        <v>322</v>
      </c>
      <c r="G64" t="s">
        <v>19</v>
      </c>
    </row>
    <row r="65" spans="1:7" x14ac:dyDescent="0.35">
      <c r="A65" t="s">
        <v>214</v>
      </c>
      <c r="B65" t="s">
        <v>74</v>
      </c>
      <c r="C65" t="s">
        <v>82</v>
      </c>
      <c r="D65" t="s">
        <v>221</v>
      </c>
      <c r="E65" t="s">
        <v>238</v>
      </c>
      <c r="F65" t="s">
        <v>311</v>
      </c>
      <c r="G65" t="s">
        <v>15</v>
      </c>
    </row>
    <row r="66" spans="1:7" x14ac:dyDescent="0.35">
      <c r="A66" t="s">
        <v>214</v>
      </c>
      <c r="B66" t="s">
        <v>125</v>
      </c>
      <c r="C66" t="s">
        <v>131</v>
      </c>
      <c r="D66" t="s">
        <v>305</v>
      </c>
      <c r="E66" t="s">
        <v>306</v>
      </c>
      <c r="F66" t="s">
        <v>323</v>
      </c>
      <c r="G66" t="s">
        <v>167</v>
      </c>
    </row>
    <row r="67" spans="1:7" x14ac:dyDescent="0.35">
      <c r="A67" t="s">
        <v>214</v>
      </c>
      <c r="B67" t="s">
        <v>171</v>
      </c>
      <c r="C67" t="s">
        <v>173</v>
      </c>
      <c r="D67" t="s">
        <v>324</v>
      </c>
      <c r="E67" t="s">
        <v>325</v>
      </c>
      <c r="F67" t="s">
        <v>326</v>
      </c>
      <c r="G67" t="s">
        <v>169</v>
      </c>
    </row>
    <row r="68" spans="1:7" x14ac:dyDescent="0.35">
      <c r="A68" t="s">
        <v>214</v>
      </c>
      <c r="B68" t="s">
        <v>74</v>
      </c>
      <c r="C68" t="s">
        <v>82</v>
      </c>
      <c r="D68" t="s">
        <v>221</v>
      </c>
      <c r="E68" t="s">
        <v>238</v>
      </c>
      <c r="F68" t="s">
        <v>311</v>
      </c>
      <c r="G68" t="s">
        <v>9</v>
      </c>
    </row>
    <row r="69" spans="1:7" x14ac:dyDescent="0.35">
      <c r="A69" t="s">
        <v>214</v>
      </c>
      <c r="B69" t="s">
        <v>74</v>
      </c>
      <c r="C69" t="s">
        <v>82</v>
      </c>
      <c r="D69" t="s">
        <v>221</v>
      </c>
      <c r="E69" t="s">
        <v>238</v>
      </c>
      <c r="F69" t="s">
        <v>311</v>
      </c>
      <c r="G69" t="s">
        <v>10</v>
      </c>
    </row>
    <row r="70" spans="1:7" x14ac:dyDescent="0.35">
      <c r="A70" t="s">
        <v>214</v>
      </c>
      <c r="B70" t="s">
        <v>74</v>
      </c>
      <c r="C70" t="s">
        <v>82</v>
      </c>
      <c r="D70" t="s">
        <v>221</v>
      </c>
      <c r="E70" t="s">
        <v>238</v>
      </c>
      <c r="F70" t="s">
        <v>311</v>
      </c>
      <c r="G70" t="s">
        <v>12</v>
      </c>
    </row>
    <row r="71" spans="1:7" x14ac:dyDescent="0.35">
      <c r="A71" t="s">
        <v>327</v>
      </c>
      <c r="B71" t="s">
        <v>176</v>
      </c>
      <c r="C71" t="s">
        <v>178</v>
      </c>
      <c r="D71" t="s">
        <v>328</v>
      </c>
      <c r="E71" t="s">
        <v>329</v>
      </c>
      <c r="F71" t="s">
        <v>330</v>
      </c>
      <c r="G7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df_Cluster</vt:lpstr>
      <vt:lpstr>df_Hex</vt:lpstr>
      <vt:lpstr>df_Tree_List</vt:lpstr>
      <vt:lpstr>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Bashir</dc:creator>
  <cp:lastModifiedBy>וואסים באשיר ואליה קאלאדי</cp:lastModifiedBy>
  <dcterms:created xsi:type="dcterms:W3CDTF">2025-11-02T13:22:22Z</dcterms:created>
  <dcterms:modified xsi:type="dcterms:W3CDTF">2025-11-02T22:29:43Z</dcterms:modified>
</cp:coreProperties>
</file>